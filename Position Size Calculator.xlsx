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4">
      <text>
        <t xml:space="preserve">Legend
🟠 Orange – SELL
🔵 Blue – BUY</t>
      </text>
    </comment>
  </commentList>
</comments>
</file>

<file path=xl/sharedStrings.xml><?xml version="1.0" encoding="utf-8"?>
<sst xmlns="http://schemas.openxmlformats.org/spreadsheetml/2006/main" count="103" uniqueCount="103">
  <si>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</si>
  <si>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</si>
  <si>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</si>
  <si>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</si>
  <si>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</si>
  <si>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</si>
  <si>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</si>
  <si>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</si>
  <si>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</si>
  <si>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</si>
  <si>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</si>
  <si>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</si>
  <si>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</si>
  <si>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</si>
  <si>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</si>
  <si>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</si>
  <si>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</si>
  <si>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</si>
  <si>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</si>
  <si>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</si>
  <si>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</si>
  <si>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</si>
  <si>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</si>
  <si>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</si>
  <si>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</si>
  <si>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</si>
  <si>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</si>
  <si>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LGEINDIA</t>
  </si>
  <si>
    <t>Stock Name: Enter the stock name (not case-sensitive). It will be converted to UPPERCASE automatically.</t>
  </si>
  <si>
    <t>*  Trade Type</t>
  </si>
  <si>
    <t>Long</t>
  </si>
  <si>
    <t>Trade Direction: Select LONG or SHORT. SL and target prices are computed accordingly.</t>
  </si>
  <si>
    <t>*  Setup</t>
  </si>
  <si>
    <t>EVB</t>
  </si>
  <si>
    <t>Select Setup: Different setups use different target values based on backtesting.</t>
  </si>
  <si>
    <t>Mandatory Input Field. Enter high/low of breakout candle</t>
  </si>
  <si>
    <t>Mandatory Input Field. Enter high/low of confirmation candle</t>
  </si>
  <si>
    <t>*  ATR</t>
  </si>
  <si>
    <t>ATR of breakout candle or confirmation candle which ever is high. Must be entered manually</t>
  </si>
  <si>
    <t>*  Spread</t>
  </si>
  <si>
    <t xml:space="preserve">Upper/Lower Circuit — Trading near these levels carries higher risk.
</t>
  </si>
  <si>
    <t>*  Entry</t>
  </si>
  <si>
    <t>Confirmation Candle</t>
  </si>
  <si>
    <t>Are you entering at the confirmation candle, or at the breakout candle</t>
  </si>
  <si>
    <t>* Order Type</t>
  </si>
  <si>
    <t>Market</t>
  </si>
  <si>
    <t xml:space="preserve">Market/Limit </t>
  </si>
  <si>
    <t>* Participation ( Volume )</t>
  </si>
  <si>
    <t>Normal</t>
  </si>
  <si>
    <r>
      <rPr>
        <rFont val="Calibri"/>
        <color rgb="FF595959"/>
      </rPr>
      <t xml:space="preserve">Participation Filter - Measure participation on the 2-minute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</si>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</sst>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right style="thin">
        <color rgb="FFCCCCCC"/>
      </right>
      <bottom/>
    </border>
    <border>
      <left style="thin">
        <color rgb="FFCCCCCC"/>
      </lef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center"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ont="1" applyNumberFormat="1">
      <alignment horizontal="center" readingOrder="0" shrinkToFit="0" vertical="center" wrapText="1"/>
    </xf>
    <xf borderId="9" fillId="5" fontId="9" numFmtId="0" xfId="0" applyAlignment="1" applyBorder="1" applyFont="1">
      <alignment horizontal="left" shrinkToFit="0" vertical="center" wrapText="1"/>
    </xf>
    <xf borderId="8" fillId="5" fontId="10" numFmtId="0" xfId="0" applyAlignment="1" applyBorder="1" applyFont="1">
      <alignment horizontal="left" shrinkToFit="0" vertical="center" wrapText="1"/>
    </xf>
    <xf borderId="9" fillId="5" fontId="11" numFmtId="10" xfId="0" applyAlignment="1" applyBorder="1" applyFont="1" applyNumberFormat="1">
      <alignment horizontal="center" readingOrder="0" shrinkToFit="0" vertical="center" wrapText="1"/>
    </xf>
    <xf borderId="9" fillId="5" fontId="11" numFmtId="2" xfId="0" applyAlignment="1" applyBorder="1" applyFont="1" applyNumberFormat="1">
      <alignment horizontal="center" readingOrder="0" shrinkToFit="0" vertical="center" wrapText="1"/>
    </xf>
    <xf borderId="9" fillId="5" fontId="9" numFmtId="0" xfId="0" applyAlignment="1" applyBorder="1" applyFont="1">
      <alignment horizontal="left" readingOrder="0" shrinkToFit="0" vertical="center" wrapText="1"/>
    </xf>
    <xf borderId="10" fillId="5" fontId="10" numFmtId="0" xfId="0" applyAlignment="1" applyBorder="1" applyFont="1">
      <alignment horizontal="left" shrinkToFit="0" vertical="center" wrapText="1"/>
    </xf>
    <xf borderId="11" fillId="5" fontId="11" numFmtId="9" xfId="0" applyAlignment="1" applyBorder="1" applyFont="1" applyNumberFormat="1">
      <alignment horizontal="center" readingOrder="0" shrinkToFit="0" vertical="center" wrapText="1"/>
    </xf>
    <xf borderId="11" fillId="5" fontId="9" numFmtId="0" xfId="0" applyAlignment="1" applyBorder="1" applyFont="1">
      <alignment horizontal="left" shrinkToFit="0" vertical="center" wrapText="1"/>
    </xf>
    <xf borderId="12" fillId="5" fontId="10" numFmtId="0" xfId="0" applyAlignment="1" applyBorder="1" applyFont="1">
      <alignment horizontal="left" shrinkToFit="0" vertical="center" wrapText="1"/>
    </xf>
    <xf borderId="13" fillId="5" fontId="11" numFmtId="4" xfId="0" applyAlignment="1" applyBorder="1" applyFont="1" applyNumberFormat="1">
      <alignment horizontal="center" shrinkToFit="0" vertical="center" wrapText="1"/>
    </xf>
    <xf borderId="13" fillId="5" fontId="9" numFmtId="0" xfId="0" applyAlignment="1" applyBorder="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ont="1">
      <alignment horizontal="left" readingOrder="0" shrinkToFit="0" vertical="center" wrapText="1"/>
    </xf>
    <xf borderId="13" fillId="5" fontId="11" numFmtId="1" xfId="0" applyAlignment="1" applyBorder="1" applyFont="1" applyNumberFormat="1">
      <alignment horizontal="center" shrinkToFit="0" vertical="center" wrapText="1"/>
    </xf>
    <xf borderId="13" fillId="5" fontId="11" numFmtId="1" xfId="0" applyAlignment="1" applyBorder="1" applyFont="1" applyNumberFormat="1">
      <alignment horizontal="center" readingOrder="0" shrinkToFit="0" vertical="center" wrapText="1"/>
    </xf>
    <xf borderId="16" fillId="5" fontId="10" numFmtId="0" xfId="0" applyAlignment="1" applyBorder="1" applyFont="1">
      <alignment horizontal="left" shrinkToFit="0" vertical="center" wrapText="1"/>
    </xf>
    <xf borderId="17" fillId="5" fontId="11" numFmtId="9" xfId="0" applyAlignment="1" applyBorder="1" applyFont="1" applyNumberFormat="1">
      <alignment horizontal="center" shrinkToFit="0" vertical="center" wrapText="1"/>
    </xf>
    <xf borderId="17" fillId="5" fontId="9" numFmtId="0" xfId="0" applyAlignment="1" applyBorder="1" applyFont="1">
      <alignment horizontal="left" shrinkToFit="0" vertical="center" wrapText="1"/>
    </xf>
    <xf borderId="13" fillId="5" fontId="11" numFmtId="9" xfId="0" applyAlignment="1" applyBorder="1" applyFont="1" applyNumberFormat="1">
      <alignment horizontal="center" readingOrder="0" shrinkToFit="0" vertical="center" wrapText="1"/>
    </xf>
    <xf borderId="13" fillId="5" fontId="9" numFmtId="0" xfId="0" applyAlignment="1" applyBorder="1" applyFont="1">
      <alignment horizontal="left" readingOrder="0" shrinkToFit="0" vertical="center" wrapText="1"/>
    </xf>
    <xf borderId="18" fillId="5" fontId="10" numFmtId="0" xfId="0" applyAlignment="1" applyBorder="1" applyFont="1">
      <alignment horizontal="left" readingOrder="0" shrinkToFit="0" vertical="center" wrapText="1"/>
    </xf>
    <xf borderId="18" fillId="5" fontId="11" numFmtId="0" xfId="0" applyAlignment="1" applyBorder="1" applyFont="1">
      <alignment horizontal="center" readingOrder="0" shrinkToFit="0" vertical="center" wrapText="1"/>
    </xf>
    <xf borderId="18" fillId="5" fontId="9" numFmtId="0" xfId="0" applyAlignment="1" applyBorder="1" applyFont="1">
      <alignment horizontal="left" readingOrder="0" shrinkToFit="0" vertical="center" wrapText="1"/>
    </xf>
    <xf borderId="18" fillId="5" fontId="11" numFmtId="10" xfId="0" applyAlignment="1" applyBorder="1" applyFont="1" applyNumberFormat="1">
      <alignment horizontal="center" readingOrder="0" shrinkToFit="0" vertical="center" wrapText="1"/>
    </xf>
    <xf borderId="18" fillId="5" fontId="12" numFmtId="0" xfId="0" applyAlignment="1" applyBorder="1" applyFont="1">
      <alignment horizontal="left" readingOrder="0" shrinkToFit="0" vertical="center" wrapText="1"/>
    </xf>
    <xf borderId="18" fillId="5" fontId="8" numFmtId="165" xfId="0" applyAlignment="1" applyBorder="1" applyFont="1" applyNumberFormat="1">
      <alignment horizontal="center"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ont="1">
      <alignment horizontal="left" shrinkToFit="0" vertical="center" wrapText="1"/>
    </xf>
    <xf borderId="21" fillId="6" fontId="8" numFmtId="164" xfId="0" applyAlignment="1" applyBorder="1" applyFont="1" applyNumberFormat="1">
      <alignment horizontal="center" readingOrder="0" shrinkToFit="0" vertical="center" wrapText="1"/>
    </xf>
    <xf borderId="21" fillId="5" fontId="9" numFmtId="0" xfId="0" applyAlignment="1" applyBorder="1" applyFont="1">
      <alignment horizontal="left" readingOrder="0" shrinkToFit="0" vertical="center" wrapText="1"/>
    </xf>
    <xf borderId="22" fillId="5" fontId="9" numFmtId="0" xfId="0" applyAlignment="1" applyBorder="1" applyFont="1">
      <alignment horizontal="left" readingOrder="0" shrinkToFit="0" vertical="center" wrapText="1"/>
    </xf>
    <xf borderId="23" fillId="4" fontId="13" numFmtId="0" xfId="0" applyAlignment="1" applyBorder="1" applyFont="1">
      <alignment horizontal="left" shrinkToFit="0" vertical="center" wrapText="1"/>
    </xf>
    <xf borderId="22"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shrinkToFit="0" vertical="center" wrapText="1"/>
    </xf>
    <xf borderId="9"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readingOrder="0" shrinkToFit="0" vertical="center" wrapText="1"/>
    </xf>
    <xf borderId="9" fillId="6" fontId="8" numFmtId="4" xfId="0" applyAlignment="1" applyBorder="1" applyFont="1" applyNumberFormat="1">
      <alignment horizontal="center" readingOrder="0" shrinkToFit="0" vertical="center" wrapText="1"/>
    </xf>
    <xf borderId="0" fillId="5" fontId="9" numFmtId="0" xfId="0" applyAlignment="1" applyFont="1">
      <alignment horizontal="left" readingOrder="0" shrinkToFit="0" vertical="center" wrapText="1"/>
    </xf>
    <xf borderId="9" fillId="6" fontId="8" numFmtId="0" xfId="0" applyAlignment="1" applyBorder="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ont="1" applyNumberFormat="1">
      <alignment horizontal="center" shrinkToFit="0" vertical="center" wrapText="1"/>
    </xf>
    <xf borderId="8" fillId="4" fontId="12" numFmtId="0" xfId="0" applyAlignment="1" applyBorder="1" applyFont="1">
      <alignment horizontal="left" readingOrder="0" shrinkToFit="0" vertical="center" wrapText="1"/>
    </xf>
    <xf borderId="9" fillId="7" fontId="8" numFmtId="4" xfId="0" applyAlignment="1" applyBorder="1" applyFont="1" applyNumberFormat="1">
      <alignment horizontal="center" shrinkToFit="0" vertical="center" wrapText="1"/>
    </xf>
    <xf borderId="9" fillId="5" fontId="10" numFmtId="164" xfId="0" applyAlignment="1" applyBorder="1" applyFont="1" applyNumberFormat="1">
      <alignment horizontal="center" shrinkToFit="0" vertical="center" wrapText="1"/>
    </xf>
    <xf borderId="9" fillId="5" fontId="10" numFmtId="1" xfId="0" applyAlignment="1" applyBorder="1" applyFont="1" applyNumberFormat="1">
      <alignment horizontal="center" shrinkToFit="0" vertical="center" wrapText="1"/>
    </xf>
    <xf borderId="11" fillId="5" fontId="10" numFmtId="1" xfId="0" applyAlignment="1" applyBorder="1" applyFont="1" applyNumberFormat="1">
      <alignment horizontal="center" shrinkToFit="0" vertical="center" wrapText="1"/>
    </xf>
    <xf borderId="0" fillId="5" fontId="10" numFmtId="0" xfId="0" applyAlignment="1" applyFont="1">
      <alignment horizontal="left" readingOrder="0" shrinkToFit="0" vertical="center" wrapText="1"/>
    </xf>
    <xf borderId="0" fillId="5" fontId="10" numFmtId="1" xfId="0" applyAlignment="1" applyFont="1" applyNumberFormat="1">
      <alignment horizontal="center" shrinkToFit="0" vertical="center" wrapText="1"/>
    </xf>
    <xf borderId="0" fillId="5" fontId="9" numFmtId="0" xfId="0" applyAlignment="1" applyFont="1">
      <alignment horizontal="left" shrinkToFit="0" vertical="center" wrapText="1"/>
    </xf>
    <xf borderId="0" fillId="8" fontId="15" numFmtId="0" xfId="0" applyAlignment="1" applyFill="1" applyFont="1">
      <alignment horizontal="left" shrinkToFit="0" vertical="center" wrapText="1"/>
    </xf>
    <xf borderId="0" fillId="5" fontId="3" numFmtId="0" xfId="0" applyAlignment="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ont="1" applyNumberFormat="1">
      <alignment horizontal="center" shrinkToFit="0" vertical="center" wrapText="1"/>
    </xf>
    <xf borderId="29" fillId="5" fontId="3" numFmtId="0" xfId="0" applyAlignment="1" applyBorder="1" applyFont="1">
      <alignment horizontal="left" shrinkToFit="0" vertical="center" wrapText="1"/>
    </xf>
    <xf borderId="30" fillId="10" fontId="16" numFmtId="0" xfId="0" applyAlignment="1" applyBorder="1" applyFont="1">
      <alignment horizontal="left" shrinkToFit="0" vertical="center" wrapText="1"/>
    </xf>
    <xf borderId="9" fillId="10" fontId="8" numFmtId="1" xfId="0" applyAlignment="1" applyBorder="1" applyFont="1" applyNumberFormat="1">
      <alignment horizontal="center" shrinkToFit="0" vertical="center" wrapText="1"/>
    </xf>
    <xf borderId="29" fillId="5" fontId="17" numFmtId="0" xfId="0" applyAlignment="1" applyBorder="1" applyFont="1">
      <alignment horizontal="left" shrinkToFit="0" vertical="center" wrapText="1"/>
    </xf>
    <xf borderId="30" fillId="10" fontId="16" numFmtId="0" xfId="0" applyAlignment="1" applyBorder="1" applyFont="1">
      <alignment horizontal="left" readingOrder="0" shrinkToFit="0" vertical="center" wrapText="1"/>
    </xf>
    <xf borderId="9" fillId="10" fontId="16" numFmtId="164" xfId="0" applyAlignment="1" applyBorder="1" applyFont="1" applyNumberFormat="1">
      <alignment horizontal="center" shrinkToFit="0" vertical="center" wrapText="1"/>
    </xf>
    <xf borderId="29" fillId="5" fontId="17" numFmtId="0" xfId="0" applyAlignment="1" applyBorder="1" applyFont="1">
      <alignment horizontal="left" readingOrder="0" shrinkToFit="0" vertical="center" wrapText="1"/>
    </xf>
    <xf borderId="9" fillId="10" fontId="18" numFmtId="165" xfId="0" applyAlignment="1" applyBorder="1" applyFont="1" applyNumberFormat="1">
      <alignment horizontal="center" shrinkToFit="0" vertical="center" wrapText="1"/>
    </xf>
    <xf borderId="9" fillId="10" fontId="18" numFmtId="4" xfId="0" applyAlignment="1" applyBorder="1" applyFont="1" applyNumberFormat="1">
      <alignment horizontal="center" shrinkToFit="0" vertical="center" wrapText="1"/>
    </xf>
    <xf borderId="31" fillId="10" fontId="16" numFmtId="0" xfId="0" applyAlignment="1" applyBorder="1" applyFont="1">
      <alignment horizontal="left" readingOrder="0" shrinkToFit="0" vertical="center" wrapText="1"/>
    </xf>
    <xf borderId="11" fillId="10" fontId="19" numFmtId="165" xfId="0" applyAlignment="1" applyBorder="1" applyFont="1" applyNumberFormat="1">
      <alignment horizontal="center" shrinkToFit="0" vertical="center" wrapText="1"/>
    </xf>
    <xf borderId="32" fillId="10" fontId="16" numFmtId="0" xfId="0" applyAlignment="1" applyBorder="1" applyFont="1">
      <alignment horizontal="left" readingOrder="0" shrinkToFit="0" vertical="center" wrapText="1"/>
    </xf>
    <xf borderId="33" fillId="10" fontId="19" numFmtId="4" xfId="0" applyAlignment="1" applyBorder="1" applyFont="1" applyNumberFormat="1">
      <alignment horizontal="center" shrinkToFit="0" vertical="center" wrapText="1"/>
    </xf>
    <xf borderId="34" fillId="5" fontId="17" numFmtId="0" xfId="0" applyAlignment="1" applyBorder="1" applyFont="1">
      <alignment horizontal="left" readingOrder="0" shrinkToFit="0" vertical="center" wrapText="1"/>
    </xf>
    <xf borderId="33" fillId="10" fontId="20" numFmtId="165" xfId="0" applyAlignment="1" applyBorder="1" applyFont="1" applyNumberFormat="1">
      <alignment horizontal="center" shrinkToFit="0" vertical="center" wrapText="1"/>
    </xf>
    <xf borderId="34" fillId="5" fontId="17" numFmtId="0" xfId="0" applyAlignment="1" applyBorder="1" applyFont="1">
      <alignment horizontal="left" shrinkToFit="0" vertical="center" wrapText="1"/>
    </xf>
    <xf borderId="33" fillId="10" fontId="20" numFmtId="4" xfId="0" applyAlignment="1" applyBorder="1" applyFont="1" applyNumberFormat="1">
      <alignment horizontal="center" shrinkToFit="0" vertical="center" wrapText="1"/>
    </xf>
    <xf borderId="35" fillId="10" fontId="16" numFmtId="0" xfId="0" applyAlignment="1" applyBorder="1" applyFont="1">
      <alignment horizontal="left" readingOrder="0" shrinkToFit="0" vertical="center" wrapText="1"/>
    </xf>
    <xf borderId="36" fillId="10" fontId="20" numFmtId="165" xfId="0" applyAlignment="1" applyBorder="1" applyFont="1" applyNumberFormat="1">
      <alignment horizontal="center" shrinkToFit="0" vertical="center" wrapText="1"/>
    </xf>
    <xf borderId="37" fillId="5" fontId="17" numFmtId="0" xfId="0" applyAlignment="1" applyBorder="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22</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IFS(
B19="NSE Topers",3/B7,
B19="EMB",2/B7,
B19="EVB",2/B7
)
+IF(B27="Strong",1/B7,0)
+IF(B26="Market",0.5,0),
0.25)</f>
        <v>4.5</v>
      </c>
      <c r="C8" s="24" t="str">
        <f t="shared" ref="C8:C9" si="1">B8 &amp; "R"</f>
        <v>4.5R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CEILING(B8*2.5,1)
 </f>
        <v>12</v>
      </c>
      <c r="C9" s="24" t="str">
        <f t="shared" si="1"/>
        <v>12R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7" t="s">
        <v>15</v>
      </c>
      <c r="B10" s="29">
        <v>2.0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33">
        <v>0.4</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5" t="s">
        <v>23</v>
      </c>
      <c r="B14" s="38">
        <v>0.01</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12500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t="s">
        <v>27</v>
      </c>
      <c r="C17" s="34" t="s">
        <v>28</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29</v>
      </c>
      <c r="B18" s="44" t="s">
        <v>30</v>
      </c>
      <c r="C18" s="34" t="s">
        <v>31</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32</v>
      </c>
      <c r="B19" s="46" t="s">
        <v>33</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5" t="str">
        <f>IF(B18="Long", "*  Breakout High", "*  Breakout Low")</f>
        <v>*  Breakout High</v>
      </c>
      <c r="B20" s="46">
        <v>1653.2</v>
      </c>
      <c r="C20" s="48" t="s">
        <v>35</v>
      </c>
      <c r="D20" s="7"/>
      <c r="E20" s="7"/>
      <c r="F20" s="7"/>
      <c r="G20" s="7"/>
      <c r="H20" s="7"/>
      <c r="I20" s="7"/>
      <c r="J20" s="7"/>
      <c r="K20" s="7"/>
      <c r="L20" s="7"/>
      <c r="M20" s="7"/>
      <c r="N20" s="7"/>
      <c r="O20" s="7"/>
      <c r="P20" s="7"/>
      <c r="Q20" s="7"/>
      <c r="R20" s="7"/>
      <c r="S20" s="7"/>
      <c r="T20" s="7"/>
      <c r="U20" s="7"/>
      <c r="V20" s="7"/>
      <c r="W20" s="7"/>
      <c r="X20" s="7"/>
      <c r="Y20" s="7"/>
      <c r="Z20" s="8"/>
    </row>
    <row r="21" ht="46.5" customHeight="1">
      <c r="A21" s="49" t="str">
        <f>IF(B18="Long", "*  Confirmation High", "*  Confirmation Low")</f>
        <v>*  Confirmation High</v>
      </c>
      <c r="B21" s="50">
        <v>1642.4</v>
      </c>
      <c r="C21" s="48" t="s">
        <v>36</v>
      </c>
      <c r="D21" s="7"/>
      <c r="E21" s="7"/>
      <c r="F21" s="7"/>
      <c r="G21" s="7"/>
      <c r="H21" s="7"/>
      <c r="I21" s="7"/>
      <c r="J21" s="7"/>
      <c r="K21" s="7"/>
      <c r="L21" s="7"/>
      <c r="M21" s="7"/>
      <c r="N21" s="7"/>
      <c r="O21" s="7"/>
      <c r="P21" s="7"/>
      <c r="Q21" s="7"/>
      <c r="R21" s="7"/>
      <c r="S21" s="7"/>
      <c r="T21" s="7"/>
      <c r="U21" s="7"/>
      <c r="V21" s="7"/>
      <c r="W21" s="7"/>
      <c r="X21" s="7"/>
      <c r="Y21" s="7"/>
      <c r="Z21" s="8"/>
    </row>
    <row r="22" ht="36.75" customHeight="1">
      <c r="A22" s="51" t="s">
        <v>37</v>
      </c>
      <c r="B22" s="52">
        <v>8.58</v>
      </c>
      <c r="C22" s="18" t="s">
        <v>38</v>
      </c>
      <c r="D22" s="7"/>
      <c r="E22" s="7"/>
      <c r="F22" s="7"/>
      <c r="G22" s="7"/>
      <c r="H22" s="7"/>
      <c r="I22" s="7"/>
      <c r="J22" s="7"/>
      <c r="K22" s="7"/>
      <c r="L22" s="7"/>
      <c r="M22" s="7"/>
      <c r="N22" s="7"/>
      <c r="O22" s="7"/>
      <c r="P22" s="7"/>
      <c r="Q22" s="7"/>
      <c r="R22" s="7"/>
      <c r="S22" s="7"/>
      <c r="T22" s="7"/>
      <c r="U22" s="7"/>
      <c r="V22" s="7"/>
      <c r="W22" s="7"/>
      <c r="X22" s="7"/>
      <c r="Y22" s="7"/>
      <c r="Z22" s="8"/>
    </row>
    <row r="23" ht="52.5" customHeight="1">
      <c r="A23" s="53" t="s">
        <v>39</v>
      </c>
      <c r="B23" s="54">
        <v>0.55</v>
      </c>
      <c r="C23" s="14"/>
      <c r="D23" s="7"/>
      <c r="E23" s="7"/>
      <c r="F23" s="7"/>
      <c r="G23" s="7"/>
      <c r="H23" s="7"/>
      <c r="I23" s="7"/>
      <c r="J23" s="7"/>
      <c r="K23" s="7"/>
      <c r="L23" s="7"/>
      <c r="M23" s="7"/>
      <c r="N23" s="7"/>
      <c r="O23" s="7"/>
      <c r="P23" s="7"/>
      <c r="Q23" s="7"/>
      <c r="R23" s="7"/>
      <c r="S23" s="7"/>
      <c r="T23" s="7"/>
      <c r="U23" s="7"/>
      <c r="V23" s="7"/>
      <c r="W23" s="7"/>
      <c r="X23" s="7"/>
      <c r="Y23" s="7"/>
      <c r="Z23" s="8"/>
    </row>
    <row r="24" ht="52.5" customHeight="1">
      <c r="A24" s="53" t="str">
        <f>IF(B18="Long","* Upper Circuit","* Lower Circuit")</f>
        <v>* Upper Circuit</v>
      </c>
      <c r="B24" s="54">
        <v>1736.1</v>
      </c>
      <c r="C24" s="55" t="s">
        <v>40</v>
      </c>
      <c r="D24" s="7"/>
      <c r="E24" s="7"/>
      <c r="F24" s="7"/>
      <c r="G24" s="7"/>
      <c r="H24" s="7"/>
      <c r="I24" s="7"/>
      <c r="J24" s="7"/>
      <c r="K24" s="7"/>
      <c r="L24" s="7"/>
      <c r="M24" s="7"/>
      <c r="N24" s="7"/>
      <c r="O24" s="7"/>
      <c r="P24" s="7"/>
      <c r="Q24" s="7"/>
      <c r="R24" s="7"/>
      <c r="S24" s="7"/>
      <c r="T24" s="7"/>
      <c r="U24" s="7"/>
      <c r="V24" s="7"/>
      <c r="W24" s="7"/>
      <c r="X24" s="7"/>
      <c r="Y24" s="7"/>
      <c r="Z24" s="8"/>
    </row>
    <row r="25" ht="46.5" customHeight="1">
      <c r="A25" s="53" t="s">
        <v>41</v>
      </c>
      <c r="B25" s="56" t="s">
        <v>42</v>
      </c>
      <c r="C25" s="57" t="s">
        <v>43</v>
      </c>
      <c r="D25" s="7"/>
      <c r="E25" s="7"/>
      <c r="F25" s="7"/>
      <c r="G25" s="7"/>
      <c r="H25" s="7"/>
      <c r="I25" s="7"/>
      <c r="J25" s="7"/>
      <c r="K25" s="7"/>
      <c r="L25" s="7"/>
      <c r="M25" s="7"/>
      <c r="N25" s="7"/>
      <c r="O25" s="7"/>
      <c r="P25" s="7"/>
      <c r="Q25" s="7"/>
      <c r="R25" s="7"/>
      <c r="S25" s="7"/>
      <c r="T25" s="7"/>
      <c r="U25" s="7"/>
      <c r="V25" s="7"/>
      <c r="W25" s="7"/>
      <c r="X25" s="7"/>
      <c r="Y25" s="7"/>
      <c r="Z25" s="8"/>
    </row>
    <row r="26" ht="46.5" customHeight="1">
      <c r="A26" s="53" t="s">
        <v>44</v>
      </c>
      <c r="B26" s="56" t="s">
        <v>45</v>
      </c>
      <c r="C26" s="57" t="s">
        <v>46</v>
      </c>
      <c r="D26" s="7"/>
      <c r="E26" s="7"/>
      <c r="F26" s="7"/>
      <c r="G26" s="7"/>
      <c r="H26" s="7"/>
      <c r="I26" s="7"/>
      <c r="J26" s="7"/>
      <c r="K26" s="7"/>
      <c r="L26" s="7"/>
      <c r="M26" s="7"/>
      <c r="N26" s="7"/>
      <c r="O26" s="7"/>
      <c r="P26" s="7"/>
      <c r="Q26" s="7"/>
      <c r="R26" s="7"/>
      <c r="S26" s="7"/>
      <c r="T26" s="7"/>
      <c r="U26" s="7"/>
      <c r="V26" s="7"/>
      <c r="W26" s="7"/>
      <c r="X26" s="7"/>
      <c r="Y26" s="7"/>
      <c r="Z26" s="8"/>
    </row>
    <row r="27" ht="93.0" customHeight="1">
      <c r="A27" s="53" t="s">
        <v>47</v>
      </c>
      <c r="B27" s="56" t="s">
        <v>48</v>
      </c>
      <c r="C27" s="57" t="s">
        <v>49</v>
      </c>
      <c r="D27" s="7"/>
      <c r="E27" s="7"/>
      <c r="F27" s="7"/>
      <c r="G27" s="7"/>
      <c r="H27" s="7"/>
      <c r="I27" s="7"/>
      <c r="J27" s="7"/>
      <c r="K27" s="7"/>
      <c r="L27" s="7"/>
      <c r="M27" s="7"/>
      <c r="N27" s="7"/>
      <c r="O27" s="7"/>
      <c r="P27" s="7"/>
      <c r="Q27" s="7"/>
      <c r="R27" s="7"/>
      <c r="S27" s="7"/>
      <c r="T27" s="7"/>
      <c r="U27" s="7"/>
      <c r="V27" s="7"/>
      <c r="W27" s="7"/>
      <c r="X27" s="7"/>
      <c r="Y27" s="7"/>
      <c r="Z27" s="8"/>
    </row>
    <row r="28" ht="46.5" hidden="1" customHeight="1">
      <c r="A28" s="58" t="s">
        <v>50</v>
      </c>
      <c r="B28" s="59">
        <f>IF(AND(B22&gt;0, B23&gt;0), B23/B22,0)</f>
        <v>0.0641025641</v>
      </c>
      <c r="C28" s="14"/>
      <c r="D28" s="7"/>
      <c r="E28" s="7"/>
      <c r="F28" s="7"/>
      <c r="G28" s="7"/>
      <c r="H28" s="7"/>
      <c r="I28" s="7"/>
      <c r="J28" s="7"/>
      <c r="K28" s="7"/>
      <c r="L28" s="7"/>
      <c r="M28" s="7"/>
      <c r="N28" s="7"/>
      <c r="O28" s="7"/>
      <c r="P28" s="7"/>
      <c r="Q28" s="7"/>
      <c r="R28" s="7"/>
      <c r="S28" s="7"/>
      <c r="T28" s="7"/>
      <c r="U28" s="7"/>
      <c r="V28" s="7"/>
      <c r="W28" s="7"/>
      <c r="X28" s="7"/>
      <c r="Y28" s="7"/>
      <c r="Z28" s="8"/>
    </row>
    <row r="29" ht="46.5" hidden="1" customHeight="1">
      <c r="A29" s="58" t="s">
        <v>51</v>
      </c>
      <c r="B29" s="60">
        <f>IF(B21&lt;250,0.01,
 IF(B21&lt;=1000,0.05,
 IF(B21&lt;=5000,0.1,
 IF(B21&lt;=10000,0.5,
 IF(B21&lt;=20000,1,5)))))</f>
        <v>0.1</v>
      </c>
      <c r="C29" s="18"/>
      <c r="D29" s="7"/>
      <c r="E29" s="7"/>
      <c r="F29" s="7"/>
      <c r="G29" s="7"/>
      <c r="H29" s="7"/>
      <c r="I29" s="7"/>
      <c r="J29" s="7"/>
      <c r="K29" s="7"/>
      <c r="L29" s="7"/>
      <c r="M29" s="7"/>
      <c r="N29" s="7"/>
      <c r="O29" s="7"/>
      <c r="P29" s="7"/>
      <c r="Q29" s="7"/>
      <c r="R29" s="7"/>
      <c r="S29" s="7"/>
      <c r="T29" s="7"/>
      <c r="U29" s="7"/>
      <c r="V29" s="7"/>
      <c r="W29" s="7"/>
      <c r="X29" s="7"/>
      <c r="Y29" s="7"/>
      <c r="Z29" s="8"/>
    </row>
    <row r="30" ht="46.5" hidden="1" customHeight="1">
      <c r="A30" s="61" t="s">
        <v>52</v>
      </c>
      <c r="B30" s="62">
        <f>IF(B25="Confirmation Candle",B21, B20)</f>
        <v>1642.4</v>
      </c>
      <c r="C30" s="18"/>
      <c r="D30" s="7"/>
      <c r="E30" s="7"/>
      <c r="F30" s="7"/>
      <c r="G30" s="7"/>
      <c r="H30" s="7"/>
      <c r="I30" s="7"/>
      <c r="J30" s="7"/>
      <c r="K30" s="7"/>
      <c r="L30" s="7"/>
      <c r="M30" s="7"/>
      <c r="N30" s="7"/>
      <c r="O30" s="7"/>
      <c r="P30" s="7"/>
      <c r="Q30" s="7"/>
      <c r="R30" s="7"/>
      <c r="S30" s="7"/>
      <c r="T30" s="7"/>
      <c r="U30" s="7"/>
      <c r="V30" s="7"/>
      <c r="W30" s="7"/>
      <c r="X30" s="7"/>
      <c r="Y30" s="7"/>
      <c r="Z30" s="8"/>
    </row>
    <row r="31" ht="21.75" hidden="1" customHeight="1">
      <c r="A31" s="5" t="s">
        <v>53</v>
      </c>
      <c r="B31" s="6"/>
      <c r="C31" s="6"/>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54</v>
      </c>
      <c r="B32" s="63">
        <f>FLOOR(B22*B7, 0.1)</f>
        <v>4.2</v>
      </c>
      <c r="C32" s="14" t="s">
        <v>55</v>
      </c>
      <c r="D32" s="7"/>
      <c r="E32" s="7"/>
      <c r="F32" s="7"/>
      <c r="G32" s="7"/>
      <c r="H32" s="7"/>
      <c r="I32" s="7"/>
      <c r="J32" s="7"/>
      <c r="K32" s="7"/>
      <c r="L32" s="7"/>
      <c r="M32" s="7"/>
      <c r="N32" s="7"/>
      <c r="O32" s="7"/>
      <c r="P32" s="7"/>
      <c r="Q32" s="7"/>
      <c r="R32" s="7"/>
      <c r="S32" s="7"/>
      <c r="T32" s="7"/>
      <c r="U32" s="7"/>
      <c r="V32" s="7"/>
      <c r="W32" s="7"/>
      <c r="X32" s="7"/>
      <c r="Y32" s="7"/>
      <c r="Z32" s="8"/>
    </row>
    <row r="33" ht="33.0" hidden="1" customHeight="1">
      <c r="A33" s="15" t="s">
        <v>56</v>
      </c>
      <c r="B33" s="63">
        <f>B4*B5</f>
        <v>12500</v>
      </c>
      <c r="C33" s="14" t="s">
        <v>57</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58</v>
      </c>
      <c r="B34" s="63">
        <f>B4*B6</f>
        <v>2375000</v>
      </c>
      <c r="C34" s="14" t="s">
        <v>59</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60</v>
      </c>
      <c r="B35" s="64">
        <f>IF(B32&gt;0,B33/B32,0)</f>
        <v>2976.190476</v>
      </c>
      <c r="C35" s="14" t="s">
        <v>61</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5" t="s">
        <v>62</v>
      </c>
      <c r="B36" s="64">
        <f>IF(B30&gt;0, B34/B30, 0)</f>
        <v>1446.054554</v>
      </c>
      <c r="C36" s="14" t="s">
        <v>63</v>
      </c>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19" t="s">
        <v>64</v>
      </c>
      <c r="B37" s="65">
        <f>MIN(B35,B36)</f>
        <v>1446.054554</v>
      </c>
      <c r="C37" s="21" t="s">
        <v>65</v>
      </c>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66</v>
      </c>
      <c r="B38" s="67" t="b">
        <f>AND(B48&lt;B24,(B24-B48)/B24&lt;=B14)</f>
        <v>0</v>
      </c>
      <c r="C38" s="68"/>
      <c r="D38" s="7"/>
      <c r="E38" s="7"/>
      <c r="F38" s="7"/>
      <c r="G38" s="7"/>
      <c r="H38" s="7"/>
      <c r="I38" s="7"/>
      <c r="J38" s="7"/>
      <c r="K38" s="7"/>
      <c r="L38" s="7"/>
      <c r="M38" s="7"/>
      <c r="N38" s="7"/>
      <c r="O38" s="7"/>
      <c r="P38" s="7"/>
      <c r="Q38" s="7"/>
      <c r="R38" s="7"/>
      <c r="S38" s="7"/>
      <c r="T38" s="7"/>
      <c r="U38" s="7"/>
      <c r="V38" s="7"/>
      <c r="W38" s="7"/>
      <c r="X38" s="7"/>
      <c r="Y38" s="7"/>
      <c r="Z38" s="8"/>
    </row>
    <row r="39" ht="21.75" hidden="1" customHeight="1">
      <c r="A39" s="66" t="s">
        <v>67</v>
      </c>
      <c r="B39" s="67" t="b">
        <f>AND(B49&lt;B24,(B24-B49)/B24&lt;=B14)</f>
        <v>0</v>
      </c>
      <c r="C39" s="68"/>
      <c r="D39" s="7"/>
      <c r="E39" s="7"/>
      <c r="F39" s="7"/>
      <c r="G39" s="7"/>
      <c r="H39" s="7"/>
      <c r="I39" s="7"/>
      <c r="J39" s="7"/>
      <c r="K39" s="7"/>
      <c r="L39" s="7"/>
      <c r="M39" s="7"/>
      <c r="N39" s="7"/>
      <c r="O39" s="7"/>
      <c r="P39" s="7"/>
      <c r="Q39" s="7"/>
      <c r="R39" s="7"/>
      <c r="S39" s="7"/>
      <c r="T39" s="7"/>
      <c r="U39" s="7"/>
      <c r="V39" s="7"/>
      <c r="W39" s="7"/>
      <c r="X39" s="7"/>
      <c r="Y39" s="7"/>
      <c r="Z39" s="8"/>
    </row>
    <row r="40" ht="47.25" customHeight="1">
      <c r="A40" s="69" t="str">
        <f>IF(AND(B28&gt;0,B28&gt;=B11),
   "⚠️ WARNING: Spread exceeds limit — position sizing blocked. Avoid this trade due to high slippage risk.",
   IF(B38,
      "☠️ WARNING: First Target (T1) is near the circuit limit — DO NOT TRADE",
      IF(B39,
         "⚠️ WARNING: Second Target (T2) is near the circuit limit — EXIT 100% at T1",
         ""
      )
   )
)</f>
        <v/>
      </c>
      <c r="D40" s="7"/>
      <c r="E40" s="7"/>
      <c r="F40" s="7"/>
      <c r="G40" s="70"/>
      <c r="H40" s="7"/>
      <c r="I40" s="7"/>
      <c r="J40" s="7"/>
      <c r="K40" s="7"/>
      <c r="L40" s="7"/>
      <c r="M40" s="7"/>
      <c r="N40" s="7"/>
      <c r="O40" s="7"/>
      <c r="P40" s="7"/>
      <c r="Q40" s="7"/>
      <c r="R40" s="7"/>
      <c r="S40" s="7"/>
      <c r="T40" s="7"/>
      <c r="U40" s="7"/>
      <c r="V40" s="7"/>
      <c r="W40" s="7"/>
      <c r="X40" s="7"/>
      <c r="Y40" s="7"/>
      <c r="Z40" s="8"/>
    </row>
    <row r="41" ht="40.5" customHeight="1">
      <c r="A41" s="71" t="s">
        <v>68</v>
      </c>
      <c r="B41" s="72"/>
      <c r="C41" s="73"/>
      <c r="D41" s="7"/>
      <c r="E41" s="7"/>
      <c r="F41" s="7"/>
      <c r="G41" s="7"/>
      <c r="H41" s="7"/>
      <c r="I41" s="7"/>
      <c r="J41" s="7"/>
      <c r="K41" s="7"/>
      <c r="L41" s="7"/>
      <c r="M41" s="7"/>
      <c r="N41" s="7"/>
      <c r="O41" s="7"/>
      <c r="P41" s="7"/>
      <c r="Q41" s="7"/>
      <c r="R41" s="7"/>
      <c r="S41" s="7"/>
      <c r="T41" s="7"/>
      <c r="U41" s="7"/>
      <c r="V41" s="7"/>
      <c r="W41" s="7"/>
      <c r="X41" s="7"/>
      <c r="Y41" s="7"/>
      <c r="Z41" s="8"/>
    </row>
    <row r="42" ht="30.75" customHeight="1">
      <c r="A42" s="74" t="s">
        <v>69</v>
      </c>
      <c r="B42" s="75" t="str">
        <f>B17</f>
        <v>LGEINDIA</v>
      </c>
      <c r="C42" s="76"/>
      <c r="D42" s="7"/>
      <c r="E42" s="7"/>
      <c r="F42" s="7"/>
      <c r="G42" s="7"/>
      <c r="H42" s="7"/>
      <c r="I42" s="7"/>
      <c r="J42" s="7"/>
      <c r="K42" s="7"/>
      <c r="L42" s="7"/>
      <c r="M42" s="7"/>
      <c r="N42" s="7"/>
      <c r="O42" s="7"/>
      <c r="P42" s="7"/>
      <c r="Q42" s="7"/>
      <c r="R42" s="7"/>
      <c r="S42" s="7"/>
      <c r="T42" s="7"/>
      <c r="U42" s="7"/>
      <c r="V42" s="7"/>
      <c r="W42" s="7"/>
      <c r="X42" s="7"/>
      <c r="Y42" s="7"/>
      <c r="Z42" s="8"/>
    </row>
    <row r="43" ht="35.25" customHeight="1">
      <c r="A43" s="77" t="s">
        <v>70</v>
      </c>
      <c r="B43" s="78">
        <f>IF(AND(B22&gt;0,B23&gt;0,B23/B22&gt;=B11),"⚠️ N/A",IF(B37&gt;5, ROUND(B37/5, 0)*5, B37))</f>
        <v>1445</v>
      </c>
      <c r="C43" s="79" t="s">
        <v>71</v>
      </c>
      <c r="D43" s="7"/>
      <c r="E43" s="7"/>
      <c r="F43" s="7"/>
      <c r="G43" s="7"/>
      <c r="H43" s="7"/>
      <c r="I43" s="7"/>
      <c r="J43" s="7"/>
      <c r="K43" s="7"/>
      <c r="L43" s="7"/>
      <c r="M43" s="7"/>
      <c r="N43" s="7"/>
      <c r="O43" s="7"/>
      <c r="P43" s="7"/>
      <c r="Q43" s="7"/>
      <c r="R43" s="7"/>
      <c r="S43" s="7"/>
      <c r="T43" s="7"/>
      <c r="U43" s="7"/>
      <c r="V43" s="7"/>
      <c r="W43" s="7"/>
      <c r="X43" s="7"/>
      <c r="Y43" s="7"/>
      <c r="Z43" s="8"/>
    </row>
    <row r="44" ht="41.25" customHeight="1">
      <c r="A44" s="80" t="s">
        <v>72</v>
      </c>
      <c r="B44" s="81">
        <f>IFS(
    B26="Limit", B30,
    B18="Long", B30+B10*B29,
    B18="Short", B30-B10*B29
)</f>
        <v>1642.6</v>
      </c>
      <c r="C44" s="79" t="s">
        <v>73</v>
      </c>
      <c r="D44" s="7"/>
      <c r="E44" s="7"/>
      <c r="F44" s="7"/>
      <c r="G44" s="7"/>
      <c r="H44" s="7"/>
      <c r="I44" s="7"/>
      <c r="J44" s="7"/>
      <c r="K44" s="7"/>
      <c r="L44" s="7"/>
      <c r="M44" s="7"/>
      <c r="N44" s="7"/>
      <c r="O44" s="7"/>
      <c r="P44" s="7"/>
      <c r="Q44" s="7"/>
      <c r="R44" s="7"/>
      <c r="S44" s="7"/>
      <c r="T44" s="7"/>
      <c r="U44" s="7"/>
      <c r="V44" s="7"/>
      <c r="W44" s="7"/>
      <c r="X44" s="7"/>
      <c r="Y44" s="7"/>
      <c r="Z44" s="8"/>
    </row>
    <row r="45" ht="43.5" hidden="1" customHeight="1">
      <c r="A45" s="80" t="s">
        <v>74</v>
      </c>
      <c r="B45" s="81" t="str">
        <f>if(B26="Limit", CEILING(B44+B29*B10, B29), "")</f>
        <v/>
      </c>
      <c r="C45" s="82"/>
      <c r="D45" s="7"/>
      <c r="E45" s="7"/>
      <c r="F45" s="7"/>
      <c r="G45" s="7"/>
      <c r="H45" s="7"/>
      <c r="I45" s="7"/>
      <c r="J45" s="7"/>
      <c r="K45" s="7"/>
      <c r="L45" s="7"/>
      <c r="M45" s="7"/>
      <c r="N45" s="7"/>
      <c r="O45" s="7"/>
      <c r="P45" s="7"/>
      <c r="Q45" s="7"/>
      <c r="R45" s="7"/>
      <c r="S45" s="7"/>
      <c r="T45" s="7"/>
      <c r="U45" s="7"/>
      <c r="V45" s="7"/>
      <c r="W45" s="7"/>
      <c r="X45" s="7"/>
      <c r="Y45" s="7"/>
      <c r="Z45" s="8"/>
    </row>
    <row r="46" ht="43.5" customHeight="1">
      <c r="A46" s="80" t="s">
        <v>75</v>
      </c>
      <c r="B46" s="81">
        <f>LET(
  entryPrice, IF(B26="Limit", B45, B44),
  IF(
    ISNUMBER(entryPrice),
    IF(B18="Long",
      FLOOR(entryPrice-B13*B32,B29),
      CEILING(entryPrice+B13*B32,B29)
    ),
    "⚠️ N/A"
  )
)</f>
        <v>1635.4</v>
      </c>
      <c r="C46" s="82" t="s">
        <v>76</v>
      </c>
      <c r="D46" s="7"/>
      <c r="E46" s="7"/>
      <c r="F46" s="7"/>
      <c r="G46" s="7"/>
      <c r="H46" s="7"/>
      <c r="I46" s="7"/>
      <c r="J46" s="7"/>
      <c r="K46" s="7"/>
      <c r="L46" s="7"/>
      <c r="M46" s="7"/>
      <c r="N46" s="7"/>
      <c r="O46" s="7"/>
      <c r="P46" s="7"/>
      <c r="Q46" s="7"/>
      <c r="R46" s="7"/>
      <c r="S46" s="7"/>
      <c r="T46" s="7"/>
      <c r="U46" s="7"/>
      <c r="V46" s="7"/>
      <c r="W46" s="7"/>
      <c r="X46" s="7"/>
      <c r="Y46" s="7"/>
      <c r="Z46" s="8"/>
    </row>
    <row r="47" ht="43.5" customHeight="1">
      <c r="A47" s="80" t="s">
        <v>77</v>
      </c>
      <c r="B47" s="81">
        <f>LET(
  entryPrice, IF(B26="Limit", B45, B44),
  IF(
    AND(B22&gt;0,B23&gt;0,B23/B22&gt;=B11),
    "⚠️ N/A",
    IF(
      B18="Long",
      FLOOR(entryPrice-B32,B29),
      CEILING(entryPrice+B32,B29)
    )
  )
)</f>
        <v>1638.4</v>
      </c>
      <c r="C47" s="79" t="s">
        <v>78</v>
      </c>
      <c r="D47" s="7"/>
      <c r="E47" s="7"/>
      <c r="F47" s="7"/>
      <c r="G47" s="7"/>
      <c r="H47" s="7"/>
      <c r="I47" s="7"/>
      <c r="J47" s="7"/>
      <c r="K47" s="7"/>
      <c r="L47" s="7"/>
      <c r="M47" s="7"/>
      <c r="N47" s="7"/>
      <c r="O47" s="7"/>
      <c r="P47" s="7"/>
      <c r="Q47" s="7"/>
      <c r="R47" s="7"/>
      <c r="S47" s="7"/>
      <c r="T47" s="7"/>
      <c r="U47" s="7"/>
      <c r="V47" s="7"/>
      <c r="W47" s="7"/>
      <c r="X47" s="7"/>
      <c r="Y47" s="7"/>
      <c r="Z47" s="8"/>
    </row>
    <row r="48" ht="43.5" customHeight="1">
      <c r="A48" s="80" t="s">
        <v>79</v>
      </c>
      <c r="B48" s="81">
        <f>LET(
  entryPrice, IF(B26="Limit", B45, B44),
  IF(
    AND(B22&gt;0,B23&gt;0,B23/B22&gt;=B11),
    "⚠️ N/A",
    IF(
      B18="Long",
      CEILING(entryPrice+B8*B32,B29),
      FLOOR(entryPrice-B8*B32,B29)
    )
  )
)</f>
        <v>1661.5</v>
      </c>
      <c r="C48" s="79" t="s">
        <v>80</v>
      </c>
      <c r="D48" s="7"/>
      <c r="E48" s="7"/>
      <c r="F48" s="7"/>
      <c r="G48" s="7"/>
      <c r="H48" s="7"/>
      <c r="I48" s="7"/>
      <c r="J48" s="7"/>
      <c r="K48" s="7"/>
      <c r="L48" s="7"/>
      <c r="M48" s="7"/>
      <c r="N48" s="7"/>
      <c r="O48" s="7"/>
      <c r="P48" s="7"/>
      <c r="Q48" s="7"/>
      <c r="R48" s="7"/>
      <c r="S48" s="7"/>
      <c r="T48" s="7"/>
      <c r="U48" s="7"/>
      <c r="V48" s="7"/>
      <c r="W48" s="7"/>
      <c r="X48" s="7"/>
      <c r="Y48" s="7"/>
      <c r="Z48" s="8"/>
    </row>
    <row r="49" ht="51.0" customHeight="1">
      <c r="A49" s="80" t="s">
        <v>81</v>
      </c>
      <c r="B49" s="81">
        <f>LET(
  entryPrice, IF(B26="Limit", B45, B44),
  IF(
    AND(B22&gt;0,B23&gt;0,B23/B22&gt;=B11),
    "⚠️ N/A",
    IF(
      B18="Long",
      CEILING(entryPrice+B32*B9,B29),
      FLOOR(entryPrice-B32*B9,B29)
    )
  )
)</f>
        <v>1693</v>
      </c>
      <c r="C49" s="82" t="s">
        <v>82</v>
      </c>
      <c r="D49" s="7"/>
      <c r="E49" s="7"/>
      <c r="F49" s="7"/>
      <c r="G49" s="7"/>
      <c r="H49" s="7"/>
      <c r="I49" s="7"/>
      <c r="J49" s="7"/>
      <c r="K49" s="7"/>
      <c r="L49" s="7"/>
      <c r="M49" s="7"/>
      <c r="N49" s="7"/>
      <c r="O49" s="7"/>
      <c r="P49" s="7"/>
      <c r="Q49" s="7"/>
      <c r="R49" s="7"/>
      <c r="S49" s="7"/>
      <c r="T49" s="7"/>
      <c r="U49" s="7"/>
      <c r="V49" s="7"/>
      <c r="W49" s="7"/>
      <c r="X49" s="7"/>
      <c r="Y49" s="7"/>
      <c r="Z49" s="8"/>
    </row>
    <row r="50" ht="36.0" customHeight="1">
      <c r="A50" s="77" t="s">
        <v>83</v>
      </c>
      <c r="B50" s="78">
        <f>IF(AND(B22&gt;0,B23&gt;0,B23/B22&gt;=B11),"⚠️ N/A",ROUND(B12*B43,0))</f>
        <v>578</v>
      </c>
      <c r="C50" s="82" t="s">
        <v>84</v>
      </c>
      <c r="D50" s="7"/>
      <c r="E50" s="7"/>
      <c r="F50" s="7"/>
      <c r="G50" s="7"/>
      <c r="H50" s="7"/>
      <c r="I50" s="7"/>
      <c r="J50" s="7"/>
      <c r="K50" s="7"/>
      <c r="L50" s="7"/>
      <c r="M50" s="7"/>
      <c r="N50" s="7"/>
      <c r="O50" s="7"/>
      <c r="P50" s="7"/>
      <c r="Q50" s="7"/>
      <c r="R50" s="7"/>
      <c r="S50" s="7"/>
      <c r="T50" s="7"/>
      <c r="U50" s="7"/>
      <c r="V50" s="7"/>
      <c r="W50" s="7"/>
      <c r="X50" s="7"/>
      <c r="Y50" s="7"/>
      <c r="Z50" s="8"/>
    </row>
    <row r="51" ht="36.0" customHeight="1">
      <c r="A51" s="77" t="s">
        <v>85</v>
      </c>
      <c r="B51" s="78">
        <f>IF(AND(B22&gt;0,B23&gt;0,B23/B22&gt;=B11),"⚠️ N/A",B43-B50)</f>
        <v>867</v>
      </c>
      <c r="C51" s="82" t="s">
        <v>86</v>
      </c>
      <c r="D51" s="7"/>
      <c r="E51" s="7"/>
      <c r="F51" s="7"/>
      <c r="G51" s="7"/>
      <c r="H51" s="7"/>
      <c r="I51" s="7"/>
      <c r="J51" s="7"/>
      <c r="K51" s="7"/>
      <c r="L51" s="7"/>
      <c r="M51" s="7"/>
      <c r="N51" s="7"/>
      <c r="O51" s="7"/>
      <c r="P51" s="7"/>
      <c r="Q51" s="7"/>
      <c r="R51" s="7"/>
      <c r="S51" s="7"/>
      <c r="T51" s="7"/>
      <c r="U51" s="7"/>
      <c r="V51" s="7"/>
      <c r="W51" s="7"/>
      <c r="X51" s="7"/>
      <c r="Y51" s="7"/>
      <c r="Z51" s="8"/>
    </row>
    <row r="52" ht="36.0" customHeight="1">
      <c r="A52" s="80" t="s">
        <v>87</v>
      </c>
      <c r="B52" s="83">
        <f>IF(AND(B22&gt;0,B23&gt;0,B23/B22&gt;=B11),"⚠️ N/A",IF(B18="Long",ROUND((B44-B47)*B43,0),ROUND((B47-B44)*B43,0)))</f>
        <v>6069</v>
      </c>
      <c r="C52" s="79" t="s">
        <v>88</v>
      </c>
      <c r="D52" s="7"/>
      <c r="E52" s="7"/>
      <c r="F52" s="7"/>
      <c r="G52" s="7"/>
      <c r="H52" s="7"/>
      <c r="I52" s="7"/>
      <c r="J52" s="7"/>
      <c r="K52" s="7"/>
      <c r="L52" s="7"/>
      <c r="M52" s="7"/>
      <c r="N52" s="7"/>
      <c r="O52" s="7"/>
      <c r="P52" s="7"/>
      <c r="Q52" s="7"/>
      <c r="R52" s="7"/>
      <c r="S52" s="7"/>
      <c r="T52" s="7"/>
      <c r="U52" s="7"/>
      <c r="V52" s="7"/>
      <c r="W52" s="7"/>
      <c r="X52" s="7"/>
      <c r="Y52" s="7"/>
      <c r="Z52" s="8"/>
    </row>
    <row r="53" ht="36.0" customHeight="1">
      <c r="A53" s="80" t="s">
        <v>89</v>
      </c>
      <c r="B53" s="84" t="str">
        <f>ROUND(B52/B15,1) &amp; "R"</f>
        <v>0.5R</v>
      </c>
      <c r="C53" s="82" t="s">
        <v>90</v>
      </c>
      <c r="D53" s="7"/>
      <c r="E53" s="7"/>
      <c r="F53" s="70"/>
      <c r="G53" s="7"/>
      <c r="H53" s="7"/>
      <c r="I53" s="7"/>
      <c r="J53" s="7"/>
      <c r="K53" s="7"/>
      <c r="L53" s="7"/>
      <c r="M53" s="7"/>
      <c r="N53" s="7"/>
      <c r="O53" s="7"/>
      <c r="P53" s="7"/>
      <c r="Q53" s="7"/>
      <c r="R53" s="7"/>
      <c r="S53" s="7"/>
      <c r="T53" s="7"/>
      <c r="U53" s="7"/>
      <c r="V53" s="7"/>
      <c r="W53" s="7"/>
      <c r="X53" s="7"/>
      <c r="Y53" s="7"/>
      <c r="Z53" s="8"/>
    </row>
    <row r="54" ht="36.0" customHeight="1">
      <c r="A54" s="85" t="s">
        <v>91</v>
      </c>
      <c r="B54" s="86">
        <f>IF(AND(B22&gt;0,B23&gt;0,B23/B22&gt;=B11),"⚠️ N/A",IF(B19="Long",ROUND((B46-B44)*B43,0),ROUND((B46-B44)*B43,0)))</f>
        <v>-10404</v>
      </c>
      <c r="C54" s="82" t="s">
        <v>92</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93</v>
      </c>
      <c r="B55" s="88" t="str">
        <f>ROUND(B54/B15,1) &amp; "R"</f>
        <v>-0.8R</v>
      </c>
      <c r="C55" s="89" t="s">
        <v>94</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95</v>
      </c>
      <c r="B56" s="90">
        <f>IF(AND(B22&gt;0,B23&gt;0,B23/B22&gt;=B11),"⚠️ N/A",IF(B18="Long",(B48-B44)*B43,(B44-B48)*B43))</f>
        <v>27310.5</v>
      </c>
      <c r="C56" s="91" t="s">
        <v>96</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97</v>
      </c>
      <c r="B57" s="92" t="str">
        <f>ROUND(B56/B15,1) &amp; "R"</f>
        <v>2.2R</v>
      </c>
      <c r="C57" s="89" t="s">
        <v>98</v>
      </c>
      <c r="D57" s="7"/>
      <c r="E57" s="7"/>
      <c r="F57" s="7"/>
      <c r="G57" s="7"/>
      <c r="H57" s="7"/>
      <c r="I57" s="7"/>
      <c r="J57" s="7"/>
      <c r="K57" s="7"/>
      <c r="L57" s="7"/>
      <c r="M57" s="7"/>
      <c r="N57" s="7"/>
      <c r="O57" s="7"/>
      <c r="P57" s="7"/>
      <c r="Q57" s="7"/>
      <c r="R57" s="7"/>
      <c r="S57" s="7"/>
      <c r="T57" s="7"/>
      <c r="U57" s="7"/>
      <c r="V57" s="7"/>
      <c r="W57" s="7"/>
      <c r="X57" s="7"/>
      <c r="Y57" s="7"/>
      <c r="Z57" s="8"/>
    </row>
    <row r="58" ht="36.0" customHeight="1">
      <c r="A58" s="87" t="s">
        <v>99</v>
      </c>
      <c r="B58" s="90">
        <f>IF(AND(B22&gt;0,B23&gt;0,B23/B22&gt;=B11),"⚠️ N/A",IF(B18="Long",(B48-B44)*B50+(B49-B44)*B51,(B44-B48)*B50+(B44-B49)*B51))</f>
        <v>54621</v>
      </c>
      <c r="C58" s="89" t="s">
        <v>100</v>
      </c>
      <c r="D58" s="7"/>
      <c r="E58" s="7"/>
      <c r="F58" s="7"/>
      <c r="G58" s="7"/>
      <c r="H58" s="7"/>
      <c r="I58" s="7"/>
      <c r="J58" s="7"/>
      <c r="K58" s="7"/>
      <c r="L58" s="7"/>
      <c r="M58" s="7"/>
      <c r="N58" s="7"/>
      <c r="O58" s="7"/>
      <c r="P58" s="7"/>
      <c r="Q58" s="7"/>
      <c r="R58" s="7"/>
      <c r="S58" s="7"/>
      <c r="T58" s="7"/>
      <c r="U58" s="7"/>
      <c r="V58" s="7"/>
      <c r="W58" s="7"/>
      <c r="X58" s="7"/>
      <c r="Y58" s="7"/>
      <c r="Z58" s="8"/>
    </row>
    <row r="59" ht="36.0" customHeight="1">
      <c r="A59" s="93" t="s">
        <v>101</v>
      </c>
      <c r="B59" s="94" t="str">
        <f>ROUND(B58/B15,1) &amp; "R"</f>
        <v>4.4R</v>
      </c>
      <c r="C59" s="95" t="s">
        <v>102</v>
      </c>
      <c r="D59" s="7"/>
      <c r="E59" s="7"/>
      <c r="F59" s="7"/>
      <c r="G59" s="7"/>
      <c r="H59" s="7"/>
      <c r="I59" s="7"/>
      <c r="J59" s="7"/>
      <c r="K59" s="7"/>
      <c r="L59" s="7"/>
      <c r="M59" s="7"/>
      <c r="N59" s="7"/>
      <c r="O59" s="7"/>
      <c r="P59" s="7"/>
      <c r="Q59" s="7"/>
      <c r="R59" s="7"/>
      <c r="S59" s="7"/>
      <c r="T59" s="7"/>
      <c r="U59" s="7"/>
      <c r="V59" s="7"/>
      <c r="W59" s="7"/>
      <c r="X59" s="7"/>
      <c r="Y59" s="7"/>
      <c r="Z59" s="8"/>
    </row>
    <row r="60" ht="21.75" customHeight="1">
      <c r="A60" s="96"/>
      <c r="B60" s="97"/>
      <c r="C60" s="98"/>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21.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15.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6"/>
      <c r="B258" s="97"/>
      <c r="C258" s="98"/>
      <c r="D258" s="7"/>
      <c r="E258" s="7"/>
      <c r="F258" s="7"/>
      <c r="G258" s="7"/>
      <c r="H258" s="7"/>
      <c r="I258" s="7"/>
      <c r="J258" s="7"/>
      <c r="K258" s="7"/>
      <c r="L258" s="7"/>
      <c r="M258" s="7"/>
      <c r="N258" s="7"/>
      <c r="O258" s="7"/>
      <c r="P258" s="7"/>
      <c r="Q258" s="7"/>
      <c r="R258" s="7"/>
      <c r="S258" s="7"/>
      <c r="T258" s="7"/>
      <c r="U258" s="7"/>
      <c r="V258" s="7"/>
      <c r="W258" s="7"/>
      <c r="X258" s="7"/>
      <c r="Y258" s="7"/>
      <c r="Z258" s="8"/>
    </row>
    <row r="259" ht="15.75" customHeight="1">
      <c r="A259" s="99"/>
      <c r="B259" s="100"/>
      <c r="C259" s="101"/>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8"/>
    </row>
    <row r="260" ht="15.75" customHeight="1">
      <c r="A260" s="103"/>
      <c r="B260" s="102"/>
      <c r="C260" s="103"/>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row r="1017" ht="15.75" customHeight="1">
      <c r="A1017" s="103"/>
      <c r="B1017" s="102"/>
      <c r="C1017" s="103"/>
      <c r="D1017" s="102"/>
      <c r="E1017" s="102"/>
      <c r="F1017" s="102"/>
      <c r="G1017" s="102"/>
      <c r="H1017" s="102"/>
      <c r="I1017" s="102"/>
      <c r="J1017" s="102"/>
      <c r="K1017" s="102"/>
      <c r="L1017" s="102"/>
      <c r="M1017" s="102"/>
      <c r="N1017" s="102"/>
      <c r="O1017" s="102"/>
      <c r="P1017" s="102"/>
      <c r="Q1017" s="102"/>
      <c r="R1017" s="102"/>
      <c r="S1017" s="102"/>
      <c r="T1017" s="102"/>
      <c r="U1017" s="102"/>
      <c r="V1017" s="102"/>
      <c r="W1017" s="102"/>
      <c r="X1017" s="102"/>
      <c r="Y1017" s="102"/>
      <c r="Z1017" s="102"/>
    </row>
  </sheetData>
  <mergeCells count="6">
    <mergeCell ref="A1:C1"/>
    <mergeCell ref="A2:C2"/>
    <mergeCell ref="A16:C16"/>
    <mergeCell ref="A31:C31"/>
    <mergeCell ref="A40:C40"/>
    <mergeCell ref="A41:C41"/>
  </mergeCells>
  <conditionalFormatting sqref="B44">
    <cfRule type="expression" dxfId="0" priority="1">
      <formula>$B18="Long"</formula>
    </cfRule>
  </conditionalFormatting>
  <conditionalFormatting sqref="B44">
    <cfRule type="expression" dxfId="1" priority="2">
      <formula>$B18="Short"</formula>
    </cfRule>
  </conditionalFormatting>
  <conditionalFormatting sqref="B45">
    <cfRule type="expression" dxfId="2" priority="3">
      <formula>$B18="Long"</formula>
    </cfRule>
  </conditionalFormatting>
  <conditionalFormatting sqref="B45">
    <cfRule type="expression" dxfId="3" priority="4">
      <formula>$B18="Short"</formula>
    </cfRule>
  </conditionalFormatting>
  <conditionalFormatting sqref="B47">
    <cfRule type="expression" dxfId="1" priority="5">
      <formula>$B18="Long"</formula>
    </cfRule>
  </conditionalFormatting>
  <conditionalFormatting sqref="B47">
    <cfRule type="expression" dxfId="0" priority="6">
      <formula>$B18="Short"</formula>
    </cfRule>
  </conditionalFormatting>
  <conditionalFormatting sqref="B48">
    <cfRule type="expression" dxfId="1" priority="7">
      <formula>$B18="Long"</formula>
    </cfRule>
  </conditionalFormatting>
  <conditionalFormatting sqref="B48">
    <cfRule type="expression" dxfId="0" priority="8">
      <formula>$B18="Short"</formula>
    </cfRule>
  </conditionalFormatting>
  <conditionalFormatting sqref="B49">
    <cfRule type="expression" dxfId="1" priority="9">
      <formula>$B18="Long"</formula>
    </cfRule>
  </conditionalFormatting>
  <conditionalFormatting sqref="B49">
    <cfRule type="expression" dxfId="0" priority="10">
      <formula>$B18="Short"</formula>
    </cfRule>
  </conditionalFormatting>
  <conditionalFormatting sqref="B46">
    <cfRule type="expression" dxfId="1" priority="11">
      <formula>$B18="Long"</formula>
    </cfRule>
  </conditionalFormatting>
  <conditionalFormatting sqref="B46">
    <cfRule type="expression" dxfId="0" priority="12">
      <formula>$B18="Short"</formula>
    </cfRule>
  </conditionalFormatting>
  <dataValidations>
    <dataValidation type="list" allowBlank="1" showErrorMessage="1" sqref="B18">
      <formula1>"Long,Short"</formula1>
    </dataValidation>
    <dataValidation type="list" allowBlank="1" showErrorMessage="1" sqref="B19">
      <formula1>"NSE Topers,EMB,EVB"</formula1>
    </dataValidation>
    <dataValidation type="list" allowBlank="1" showErrorMessage="1" sqref="B26">
      <formula1>"Limit,Market"</formula1>
    </dataValidation>
    <dataValidation type="list" allowBlank="1" showErrorMessage="1" sqref="B27">
      <formula1>"Normal,Strong"</formula1>
    </dataValidation>
    <dataValidation type="list" allowBlank="1" showErrorMessage="1" sqref="B25">
      <formula1>"Confirmation Candle,Breakout Candle"</formula1>
    </dataValidation>
  </dataValidations>
  <printOptions/>
  <pageMargins bottom="1.0" footer="0.0" header="0.0" left="0.75" right="0.75" top="1.0"/>
  <pageSetup paperSize="9" orientation="portrait"/>
  <drawing r:id="rId2"/>
  <legacyDrawing r:id="rId3"/>
</worksheet>
</file>