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on Calculator" sheetId="1" r:id="rId5"/>
    <sheet state="visible" name="Trailing SL Calculator"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Legend
🟠 Orange – SELL
🔵 Blue – BUY</t>
      </text>
    </comment>
    <comment authorId="0" ref="B49">
      <text>
        <t xml:space="preserve">Legend
🟠 Orange – SELL
🔵 Blue – BUY</t>
      </text>
    </comment>
    <comment authorId="0" ref="B48">
      <text>
        <t xml:space="preserve">Legend
🟠 Orange – SELL
🔵 Blue – BUY</t>
      </text>
    </comment>
    <comment authorId="0" ref="B47">
      <text>
        <t xml:space="preserve">Legend
🟠 Orange – SELL
🔵 Blue – BUY</t>
      </text>
    </comment>
    <comment authorId="0" ref="B46">
      <text>
        <t xml:space="preserve">Legend
🟠 Orange – SELL
🔵 Blue – BUY</t>
      </text>
    </comment>
    <comment authorId="0" ref="B53">
      <text>
        <t xml:space="preserve">Legend
🟠 Orange – SELL
🔵 Blue – BUY</t>
      </text>
    </comment>
    <comment authorId="0" ref="B52">
      <text>
        <t xml:space="preserve">Legend
🟠 Orange – SELL
🔵 Blue – BUY</t>
      </text>
    </comment>
    <comment authorId="0" ref="B51">
      <text>
        <t xml:space="preserve">Legend
🟠 Orange – SELL
🔵 Blue – BUY</t>
      </text>
    </comment>
  </commentList>
</comments>
</file>

<file path=xl/sharedStrings.xml><?xml version="1.0" encoding="utf-8"?>
<sst xmlns="http://schemas.openxmlformats.org/spreadsheetml/2006/main" count="118" uniqueCount="115">
  <si>
    <t>Symbol</t>
  </si>
  <si>
    <t>📊  Position Size Calculator ( Fill in the required fields marked with * )</t>
  </si>
  <si>
    <t>ACCOUNT SETTINGS</t>
  </si>
  <si>
    <t>Auto fetched from position calculator</t>
  </si>
  <si>
    <t>Trade Type</t>
  </si>
  <si>
    <t>Parameter</t>
  </si>
  <si>
    <t>Exit Trigger Price</t>
  </si>
  <si>
    <t>Value</t>
  </si>
  <si>
    <t>Must be entered manually</t>
  </si>
  <si>
    <t>Exit Price</t>
  </si>
  <si>
    <t>Notes</t>
  </si>
  <si>
    <t>*  Trading Capital (₹)</t>
  </si>
  <si>
    <t>Total account equity</t>
  </si>
  <si>
    <t>Max Risk Per Trade (%)</t>
  </si>
  <si>
    <t>Auto calculated</t>
  </si>
  <si>
    <t>% of capital at risk (default: 2% SHORT, 3% LONG)</t>
  </si>
  <si>
    <t>Intraday Leverage Multiplier</t>
  </si>
  <si>
    <t>Maximum leverage: 4.75x (95% of buying power). Never deploy 100% of buying power. The buffer is not idle money — it is your right to modify orders freely.</t>
  </si>
  <si>
    <t>ATR Risk Multiplier</t>
  </si>
  <si>
    <t>ATR multiple for stop distance</t>
  </si>
  <si>
    <t>Fixed Target Multiplier</t>
  </si>
  <si>
    <t>Partial Target Multiplier</t>
  </si>
  <si>
    <t>ATR - Spread Ratio Limit</t>
  </si>
  <si>
    <t>spread relative to volatility. 5–10% → acceptable. Wide spread can cause slippage</t>
  </si>
  <si>
    <t>Partial Exit Percentage</t>
  </si>
  <si>
    <t>Percentage of shares to be exited at T1 in partial exit model</t>
  </si>
  <si>
    <t>Intermediate SL Multiplier</t>
  </si>
  <si>
    <t>What stop-loss multiplier should be used for the immediate SL? (For example, 2 means twice the SL distance.)</t>
  </si>
  <si>
    <t>Circuit Proximity Threshold (%)</t>
  </si>
  <si>
    <t>This is intended to avoid trading when the target is close to the circuit limit, as trading near the upper or lower circuit carries higher execution and liquidity risk.</t>
  </si>
  <si>
    <t>Max slippage percentage per risk</t>
  </si>
  <si>
    <t>Maximum allowable entry slippage as a percentage of total trade risk.</t>
  </si>
  <si>
    <t>Max exit slippage percentage per risk</t>
  </si>
  <si>
    <t>Maximum allowable exit slippage as a percentage of total trade risk.</t>
  </si>
  <si>
    <t>Entry Buffer Multiplier</t>
  </si>
  <si>
    <t>Entry buffer in ticks. Dynamically computed based on B14</t>
  </si>
  <si>
    <t>Exit Buffer Multiplier</t>
  </si>
  <si>
    <t>Exit buffer in ticks. Dynamically computed from Max exit slippage % per risk.</t>
  </si>
  <si>
    <t>R (₹)</t>
  </si>
  <si>
    <t xml:space="preserve">This is the maximum amount you are willing to lose on a single trade. All key metrics—including position size, Stop Loss, and Target—are calculated based on this risk.
</t>
  </si>
  <si>
    <t>TRADE INPUTS</t>
  </si>
  <si>
    <t>*  Symbol</t>
  </si>
  <si>
    <t>Stock Name: Enter the stock name (not case-sensitive). It will be converted to UPPERCASE automatically.</t>
  </si>
  <si>
    <t>*  Trade Type</t>
  </si>
  <si>
    <t>Long</t>
  </si>
  <si>
    <t>Trade Direction: Select LONG or SHORT. SL and target prices are computed accordingly.</t>
  </si>
  <si>
    <t>*  Setup</t>
  </si>
  <si>
    <t>EVB</t>
  </si>
  <si>
    <t xml:space="preserve">Select Setup: Different setups use different target values based on backtesting.
NSE Topers - NSE Top Gainers
EVB - Explosive Volume Breakout
BTR - Bull Trap Reversal
</t>
  </si>
  <si>
    <t>Mandatory Input Field. Enter high/low of entry candle</t>
  </si>
  <si>
    <t>*  ATR</t>
  </si>
  <si>
    <t>ATR of breakout candle or confirmation candle which ever is high. Must be entered manually</t>
  </si>
  <si>
    <t>*  Spread</t>
  </si>
  <si>
    <t xml:space="preserve">Upper/Lower Circuit — Trading near these levels carries higher risk.
</t>
  </si>
  <si>
    <t>* Order Type</t>
  </si>
  <si>
    <t>Limit</t>
  </si>
  <si>
    <t xml:space="preserve">Market/Limit </t>
  </si>
  <si>
    <t>* Participation ( Volume )</t>
  </si>
  <si>
    <t>Normal</t>
  </si>
  <si>
    <t>Participation Filter - Measure participation on the 2-minute timeframe after entry. 
Strong Participation
* Volume ≥ 1.5 × 20-period average for the next 2–3 candles.
* Price maintains bullish structure (higher highs/higher lows).
Action: Use an extended target.
Otherwise:
Normal Participation → Use the standard target.</t>
  </si>
  <si>
    <t>Spread/ATR</t>
  </si>
  <si>
    <t>Tick Size</t>
  </si>
  <si>
    <t>Auto computed based on symbol price</t>
  </si>
  <si>
    <t>🟢  Entry Trigger Price</t>
  </si>
  <si>
    <t>INTERMEDIATE CALCULATIONS</t>
  </si>
  <si>
    <t>Risk Per Share (R)</t>
  </si>
  <si>
    <t>ATR × ATR Risk Multiplier, rounded UP to the tick size to avoid understating risk.</t>
  </si>
  <si>
    <t>Max Risk Amount (₹)</t>
  </si>
  <si>
    <t>Maximum amount you are willing to risk per trade (**Capital × Risk %**). If a trade exceeds this loss, exit immediately.</t>
  </si>
  <si>
    <t>Buying Power (₹)</t>
  </si>
  <si>
    <t>Capital × Leverage</t>
  </si>
  <si>
    <t>Risk-Based Qty</t>
  </si>
  <si>
    <t>Risk Amount ÷ Risk Per Share</t>
  </si>
  <si>
    <t>Capital-Based Qty</t>
  </si>
  <si>
    <t>Buying Power ÷ Entry Price</t>
  </si>
  <si>
    <t>Tradable Qty</t>
  </si>
  <si>
    <t>Min of risk-based vs capital-based</t>
  </si>
  <si>
    <t>Is Wide Spread</t>
  </si>
  <si>
    <t>T1 Near Circuit?</t>
  </si>
  <si>
    <t>T2 Near Circuit?</t>
  </si>
  <si>
    <t>POSITION SIZE OUTPUT</t>
  </si>
  <si>
    <t>Quantity</t>
  </si>
  <si>
    <t>Quantity is rounded DOWN to the nearest 5; quantities below 5 are rounded down to whole shares so risk is never exceeded.</t>
  </si>
  <si>
    <t>Entry Trigger Price</t>
  </si>
  <si>
    <t>Entry trigger price . Actual entry price may vary due to slippage.</t>
  </si>
  <si>
    <r>
      <rPr>
        <rFont val="Calibri"/>
        <color rgb="FF595959"/>
        <sz val="11.0"/>
      </rPr>
      <t xml:space="preserve">The max price you are willing to accept in </t>
    </r>
    <r>
      <rPr>
        <rFont val="Calibri"/>
        <b/>
        <color rgb="FF595959"/>
        <sz val="11.0"/>
      </rPr>
      <t>Limit</t>
    </r>
    <r>
      <rPr>
        <rFont val="Calibri"/>
        <color rgb="FF595959"/>
        <sz val="11.0"/>
      </rPr>
      <t xml:space="preserve"> Entry order. Empty for </t>
    </r>
    <r>
      <rPr>
        <rFont val="Calibri"/>
        <b/>
        <color rgb="FF595959"/>
        <sz val="11.0"/>
      </rPr>
      <t>Market</t>
    </r>
    <r>
      <rPr>
        <rFont val="Calibri"/>
        <color rgb="FF595959"/>
        <sz val="11.0"/>
      </rPr>
      <t xml:space="preserve"> order</t>
    </r>
  </si>
  <si>
    <t>Emergency Exit Trigger Price</t>
  </si>
  <si>
    <t>Wide SL: Place this stop-loss immediately after entry to protect against large losses. Replace it with the normal stop-loss once the trade moves in your favor or once the entry candle closes. This temporary stop is designed to eliminate the hesitation of delaying a stop-loss due to fear of being stopped out too early, helping prevent catastrophic losses.</t>
  </si>
  <si>
    <r>
      <rPr>
        <rFont val="Calibri"/>
        <color rgb="FF595959"/>
        <sz val="11.0"/>
      </rPr>
      <t xml:space="preserve">The max price you are willing to accept in </t>
    </r>
    <r>
      <rPr>
        <rFont val="Calibri"/>
        <b/>
        <color rgb="FF595959"/>
        <sz val="11.0"/>
      </rPr>
      <t>Limit</t>
    </r>
    <r>
      <rPr>
        <rFont val="Calibri"/>
        <color rgb="FF595959"/>
        <sz val="11.0"/>
      </rPr>
      <t xml:space="preserve"> Emergency Exit order. Empty for </t>
    </r>
    <r>
      <rPr>
        <rFont val="Calibri"/>
        <b/>
        <color rgb="FF595959"/>
        <sz val="11.0"/>
      </rPr>
      <t>Market</t>
    </r>
    <r>
      <rPr>
        <rFont val="Calibri"/>
        <color rgb="FF595959"/>
        <sz val="11.0"/>
      </rPr>
      <t xml:space="preserve"> order</t>
    </r>
  </si>
  <si>
    <t>SL price for Stop-Loss Market (SL-M) order . The actual exit price may vary due to slippage</t>
  </si>
  <si>
    <r>
      <rPr>
        <rFont val="Calibri"/>
        <color rgb="FF595959"/>
        <sz val="11.0"/>
      </rPr>
      <t xml:space="preserve">The max price you are willing to accept in </t>
    </r>
    <r>
      <rPr>
        <rFont val="Calibri"/>
        <b/>
        <color rgb="FF595959"/>
        <sz val="11.0"/>
      </rPr>
      <t>Limit</t>
    </r>
    <r>
      <rPr>
        <rFont val="Calibri"/>
        <color rgb="FF595959"/>
        <sz val="11.0"/>
      </rPr>
      <t xml:space="preserve"> Exit order. Empty for </t>
    </r>
    <r>
      <rPr>
        <rFont val="Calibri"/>
        <b/>
        <color rgb="FF595959"/>
        <sz val="11.0"/>
      </rPr>
      <t>Market</t>
    </r>
    <r>
      <rPr>
        <rFont val="Calibri"/>
        <color rgb="FF595959"/>
        <sz val="11.0"/>
      </rPr>
      <t xml:space="preserve"> order</t>
    </r>
  </si>
  <si>
    <t>First Target Price ( T1 )</t>
  </si>
  <si>
    <t xml:space="preserve">The primary target — and in most cases, the only target that matters.
</t>
  </si>
  <si>
    <t>Second Target Price ( T2 )</t>
  </si>
  <si>
    <t xml:space="preserve">The secondary target should only be used if you plan to follow a partial exit strategy — for example, booking 50% at T1, moving the stop loss to breakeven, and then trailing the remaining position below each new swing low until T2 is hit.
This approach is not perfect. Some days, price will reverse after hitting T1, reducing your overall profit. On other days, the move will continue to T2 and deliver larger gains. Be prepared mentally for both outcomes.
</t>
  </si>
  <si>
    <t>Quantity ( Q1 )</t>
  </si>
  <si>
    <t>% of total quantity to exit at T1. This must be only used in partial exit strategy</t>
  </si>
  <si>
    <t>Quantity ( Q2 )</t>
  </si>
  <si>
    <t>Remaining quantity to exit at T2. This must be only used in partial exit strategy</t>
  </si>
  <si>
    <t>Loss (₹)</t>
  </si>
  <si>
    <t>Estimated loss amount if SL is hit . Actual amount may vary due to slippage</t>
  </si>
  <si>
    <t>Loss (R)</t>
  </si>
  <si>
    <t>Loss in R</t>
  </si>
  <si>
    <t>Max Loss (₹)</t>
  </si>
  <si>
    <t>Estimated loss if the intermediate SL is hit.  Actual amount may vary due to slippage</t>
  </si>
  <si>
    <t>Max Loss (R)</t>
  </si>
  <si>
    <t>Max loss in R</t>
  </si>
  <si>
    <t>Fixed Target Profit(₹)</t>
  </si>
  <si>
    <t>Estimated profit if T1 is hit.  Actual amount may vary due to slippage</t>
  </si>
  <si>
    <t>Fixed Target Profit(R)</t>
  </si>
  <si>
    <t>Fixed target profit in R</t>
  </si>
  <si>
    <t>Partial Target Profit(₹)</t>
  </si>
  <si>
    <t>Estimated profit if T2 is hit.  This must be only applicable to partial exit strategy. Actual amount may vary due to slippage</t>
  </si>
  <si>
    <t>Partial Target Profit(R)</t>
  </si>
  <si>
    <t>Partial target profit in 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</si>
</sst>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0"/>
  </numFmts>
  <fonts count="29">
    <font>
      <sz val="11.0"/>
      <color theme="1"/>
      <name val="Calibri"/>
      <scheme val="minor"/>
    </font>
    <font>
      <b/>
      <sz val="12.0"/>
      <color theme="1"/>
      <name val="Calibri"/>
      <scheme val="minor"/>
    </font>
    <font>
      <b/>
      <sz val="14.0"/>
      <color rgb="FFFFFFFF"/>
      <name val="Arial"/>
    </font>
    <font/>
    <font>
      <sz val="11.0"/>
      <color theme="1"/>
      <name val="Calibri"/>
    </font>
    <font>
      <color theme="1"/>
      <name val="Calibri"/>
    </font>
    <font>
      <b/>
      <sz val="10.0"/>
      <color rgb="FFFFFFFF"/>
      <name val="Arial"/>
    </font>
    <font>
      <sz val="10.0"/>
      <color theme="1"/>
      <name val="Calibri"/>
      <scheme val="minor"/>
    </font>
    <font>
      <b/>
      <sz val="11.0"/>
      <color rgb="FF595959"/>
      <name val="Arial"/>
    </font>
    <font>
      <b/>
      <sz val="12.0"/>
      <color rgb="FF0000FF"/>
      <name val="Calibri"/>
      <scheme val="minor"/>
    </font>
    <font>
      <b/>
      <sz val="11.0"/>
      <color rgb="FF990000"/>
      <name val="Arial"/>
    </font>
    <font>
      <b/>
      <sz val="12.0"/>
      <color rgb="FF0000FF"/>
      <name val="Arial"/>
    </font>
    <font>
      <sz val="10.0"/>
      <color rgb="FF595959"/>
      <name val="Arial"/>
    </font>
    <font>
      <sz val="10.0"/>
      <color rgb="FF000000"/>
      <name val="Arial"/>
    </font>
    <font>
      <sz val="10.0"/>
      <color rgb="FF0000FF"/>
      <name val="Arial"/>
    </font>
    <font>
      <sz val="10.0"/>
      <color theme="1"/>
      <name val="Arial"/>
    </font>
    <font>
      <color rgb="FF0000FF"/>
      <name val="Arial"/>
    </font>
    <font>
      <sz val="11.0"/>
      <color rgb="FF0000FF"/>
      <name val="Arial"/>
    </font>
    <font>
      <color rgb="FF595959"/>
      <name val="Arial"/>
    </font>
    <font>
      <b/>
      <sz val="11.0"/>
      <color rgb="FF000000"/>
      <name val="Arial"/>
    </font>
    <font>
      <b/>
      <sz val="11.0"/>
      <color rgb="FF980000"/>
      <name val="Arial"/>
    </font>
    <font>
      <color rgb="FF595959"/>
      <name val="Calibri"/>
    </font>
    <font>
      <b/>
      <sz val="14.0"/>
      <color rgb="FFCC0000"/>
      <name val="Arial"/>
    </font>
    <font>
      <b/>
      <sz val="12.0"/>
      <color rgb="FF000000"/>
      <name val="Arial"/>
    </font>
    <font>
      <sz val="11.0"/>
      <color rgb="FF595959"/>
      <name val="Calibri"/>
    </font>
    <font>
      <b/>
      <sz val="12.0"/>
      <color theme="1"/>
      <name val="Arial"/>
    </font>
    <font>
      <b/>
      <sz val="12.0"/>
      <color rgb="FF990000"/>
      <name val="Arial"/>
    </font>
    <font>
      <b/>
      <sz val="12.0"/>
      <color rgb="FF980000"/>
      <name val="Arial"/>
    </font>
    <font>
      <b/>
      <sz val="12.0"/>
      <color rgb="FF274E13"/>
      <name val="Arial"/>
    </font>
  </fonts>
  <fills count="12">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2E74B5"/>
        <bgColor rgb="FF2E74B5"/>
      </patternFill>
    </fill>
    <fill>
      <patternFill patternType="solid">
        <fgColor rgb="FFF2F2F2"/>
        <bgColor rgb="FFF2F2F2"/>
      </patternFill>
    </fill>
    <fill>
      <patternFill patternType="solid">
        <fgColor rgb="FFFFFFFF"/>
        <bgColor rgb="FFFFFFFF"/>
      </patternFill>
    </fill>
    <fill>
      <patternFill patternType="solid">
        <fgColor rgb="FFFFE599"/>
        <bgColor rgb="FFFFE599"/>
      </patternFill>
    </fill>
    <fill>
      <patternFill patternType="solid">
        <fgColor rgb="FFD9EAD3"/>
        <bgColor rgb="FFD9EAD3"/>
      </patternFill>
    </fill>
    <fill>
      <patternFill patternType="solid">
        <fgColor rgb="FFEFEFEF"/>
        <bgColor rgb="FFEFEFEF"/>
      </patternFill>
    </fill>
    <fill>
      <patternFill patternType="solid">
        <fgColor rgb="FF434343"/>
        <bgColor rgb="FF434343"/>
      </patternFill>
    </fill>
    <fill>
      <patternFill patternType="solid">
        <fgColor rgb="FFF3F3F3"/>
        <bgColor rgb="FFF3F3F3"/>
      </patternFill>
    </fill>
  </fills>
  <borders count="46">
    <border/>
    <border>
      <left style="thick">
        <color rgb="FF000000"/>
      </left>
      <top style="thick">
        <color rgb="FF000000"/>
      </top>
    </border>
    <border>
      <left style="thin">
        <color rgb="FFCCCCCC"/>
      </left>
      <top style="thin">
        <color rgb="FFCCCCCC"/>
      </top>
      <bottom/>
    </border>
    <border>
      <top style="thin">
        <color rgb="FFCCCCCC"/>
      </top>
      <bottom/>
    </border>
    <border>
      <top style="thin">
        <color rgb="FFCCCCCC"/>
      </top>
    </border>
    <border>
      <right style="thin">
        <color rgb="FFCCCCCC"/>
      </right>
      <top style="thin">
        <color rgb="FFCCCCCC"/>
      </top>
    </border>
    <border>
      <top style="thick">
        <color rgb="FF000000"/>
      </top>
    </border>
    <border>
      <left style="thin">
        <color rgb="FFCCCCCC"/>
      </left>
      <top/>
      <bottom/>
    </border>
    <border>
      <right style="thick">
        <color rgb="FF000000"/>
      </right>
      <top style="thick">
        <color rgb="FF000000"/>
      </top>
    </border>
    <border>
      <top/>
      <bottom/>
    </border>
    <border>
      <left style="thick">
        <color rgb="FF000000"/>
      </left>
    </border>
    <border>
      <right style="thin">
        <color rgb="FFCCCCCC"/>
      </right>
    </border>
    <border>
      <right style="thick">
        <color rgb="FF000000"/>
      </right>
    </border>
    <border>
      <left style="thin">
        <color rgb="FFCCCCCC"/>
      </left>
      <top style="thin">
        <color rgb="FFBFBFBF"/>
      </top>
      <bottom style="thin">
        <color rgb="FFBFBFBF"/>
      </bottom>
    </border>
    <border>
      <left style="thin">
        <color rgb="FFCCCCCC"/>
      </left>
      <right style="thin">
        <color rgb="FFCCCCCC"/>
      </right>
      <top style="thin">
        <color rgb="FFBFBFBF"/>
      </top>
      <bottom style="thin">
        <color rgb="FFBFBFBF"/>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CCCCCC"/>
      </left>
      <top style="thin">
        <color rgb="FFBFBFBF"/>
      </top>
    </border>
    <border>
      <left style="thin">
        <color rgb="FFCCCCCC"/>
      </left>
      <right style="thin">
        <color rgb="FFCCCCCC"/>
      </right>
      <top style="thin">
        <color rgb="FFBFBFBF"/>
      </top>
    </border>
    <border>
      <left style="thin">
        <color rgb="FFCCCCCC"/>
      </lef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top style="thin">
        <color rgb="FFCCCCCC"/>
      </top>
    </border>
    <border>
      <left style="thin">
        <color rgb="FFCCCCCC"/>
      </left>
      <right style="thin">
        <color rgb="FFCCCCCC"/>
      </right>
      <top style="thin">
        <color rgb="FFCCCCCC"/>
      </top>
    </border>
    <border>
      <left style="thin">
        <color rgb="FFCCCCCC"/>
      </left>
    </border>
    <border>
      <left style="thin">
        <color rgb="FFCCCCCC"/>
      </left>
      <top/>
    </border>
    <border>
      <top/>
    </border>
    <border>
      <left style="thin">
        <color rgb="FFCCCCCC"/>
      </left>
      <right style="thin">
        <color rgb="FFCCCCCC"/>
      </right>
    </border>
    <border>
      <left style="thin">
        <color rgb="FFCCCCCC"/>
      </left>
      <bottom/>
    </border>
    <border>
      <left style="thin">
        <color rgb="FFCCCCCC"/>
      </left>
      <right style="thin">
        <color rgb="FFCCCCCC"/>
      </right>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border>
    <border>
      <left style="thin">
        <color rgb="FFCCCCCC"/>
      </left>
      <right style="thin">
        <color rgb="FFCCCCCC"/>
      </right>
      <top/>
      <bottom/>
    </border>
    <border>
      <left style="thin">
        <color rgb="FFCCCCCC"/>
      </left>
      <right style="medium">
        <color rgb="FF000000"/>
      </right>
    </border>
    <border>
      <left style="medium">
        <color rgb="FF000000"/>
      </left>
      <top style="thin">
        <color rgb="FFBFBFBF"/>
      </top>
      <bottom style="thin">
        <color rgb="FFBFBFBF"/>
      </bottom>
    </border>
    <border>
      <left style="medium">
        <color rgb="FF000000"/>
      </left>
      <top style="thin">
        <color rgb="FFBFBFBF"/>
      </top>
    </border>
    <border>
      <left style="medium">
        <color rgb="FF000000"/>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right style="medium">
        <color rgb="FF000000"/>
      </right>
    </border>
    <border>
      <left style="medium">
        <color rgb="FF000000"/>
      </left>
      <right style="thin">
        <color rgb="FFB7B7B7"/>
      </right>
      <top style="thin">
        <color rgb="FFB7B7B7"/>
      </top>
      <bottom style="medium">
        <color rgb="FF000000"/>
      </bottom>
    </border>
    <border>
      <left style="thin">
        <color rgb="FFB7B7B7"/>
      </left>
      <right style="thin">
        <color rgb="FFB7B7B7"/>
      </right>
      <top style="thin">
        <color rgb="FFB7B7B7"/>
      </top>
      <bottom style="medium">
        <color rgb="FF000000"/>
      </bottom>
    </border>
    <border>
      <right style="medium">
        <color rgb="FF000000"/>
      </right>
      <bottom style="medium">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3" fontId="2" numFmtId="0" xfId="0" applyAlignment="1" applyBorder="1" applyFill="1" applyFont="1">
      <alignment horizontal="left" shrinkToFit="0" vertical="center" wrapText="1"/>
    </xf>
    <xf borderId="3" fillId="0" fontId="3" numFmtId="0" xfId="0" applyBorder="1" applyFont="1"/>
    <xf borderId="4" fillId="0" fontId="4"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6" fillId="2" fontId="1" numFmtId="164" xfId="0" applyAlignment="1" applyBorder="1" applyFill="1" applyFont="1" applyNumberFormat="1">
      <alignment horizontal="center" vertical="center"/>
    </xf>
    <xf borderId="7" fillId="4" fontId="6" numFmtId="0" xfId="0" applyAlignment="1" applyBorder="1" applyFill="1" applyFont="1">
      <alignment horizontal="left" shrinkToFit="0" vertical="center" wrapText="1"/>
    </xf>
    <xf borderId="8" fillId="2" fontId="7" numFmtId="0" xfId="0" applyAlignment="1" applyBorder="1" applyFill="1" applyFont="1">
      <alignment horizontal="left" readingOrder="0" vertical="center"/>
    </xf>
    <xf borderId="9" fillId="0" fontId="3" numFmtId="0" xfId="0" applyBorder="1" applyFont="1"/>
    <xf borderId="10" fillId="2" fontId="1" numFmtId="0" xfId="0" applyAlignment="1" applyBorder="1" applyFill="1" applyFont="1">
      <alignment horizontal="left" readingOrder="0" vertical="center"/>
    </xf>
    <xf borderId="0" fillId="0" fontId="4" numFmtId="0" xfId="0" applyAlignment="1" applyFont="1">
      <alignment horizontal="center" shrinkToFit="0" vertical="center" wrapText="1"/>
    </xf>
    <xf borderId="11" fillId="0" fontId="5" numFmtId="0" xfId="0" applyAlignment="1" applyBorder="1" applyFont="1">
      <alignment horizontal="center" shrinkToFit="0" vertical="center" wrapText="1"/>
    </xf>
    <xf borderId="0" fillId="2" fontId="1" numFmtId="164" xfId="0" applyAlignment="1" applyFill="1" applyFont="1" applyNumberFormat="1">
      <alignment horizontal="center" vertical="center"/>
    </xf>
    <xf borderId="12" fillId="2" fontId="7" numFmtId="0" xfId="0" applyAlignment="1" applyBorder="1" applyFill="1" applyFont="1">
      <alignment horizontal="left" readingOrder="0" vertical="center"/>
    </xf>
    <xf borderId="13" fillId="5" fontId="8" numFmtId="0" xfId="0" applyAlignment="1" applyBorder="1" applyFill="1" applyFont="1">
      <alignment horizontal="left" shrinkToFit="0" vertical="center" wrapText="1"/>
    </xf>
    <xf borderId="0" fillId="2" fontId="9" numFmtId="4" xfId="0" applyAlignment="1" applyFill="1" applyFont="1" applyNumberFormat="1">
      <alignment horizontal="center" readingOrder="0" vertical="center"/>
    </xf>
    <xf borderId="14" fillId="5" fontId="8" numFmtId="164" xfId="0" applyAlignment="1" applyBorder="1" applyFill="1" applyFont="1" applyNumberFormat="1">
      <alignment horizontal="center" shrinkToFit="0" vertical="center" wrapText="1"/>
    </xf>
    <xf borderId="15" fillId="2" fontId="1" numFmtId="0" xfId="0" applyAlignment="1" applyBorder="1" applyFill="1" applyFont="1">
      <alignment horizontal="left" readingOrder="0" vertical="center"/>
    </xf>
    <xf borderId="14" fillId="5" fontId="8" numFmtId="0" xfId="0" applyAlignment="1" applyBorder="1" applyFill="1" applyFont="1">
      <alignment horizontal="left" shrinkToFit="0" vertical="center" wrapText="1"/>
    </xf>
    <xf borderId="13" fillId="6" fontId="10" numFmtId="0" xfId="0" applyAlignment="1" applyBorder="1" applyFill="1" applyFont="1">
      <alignment horizontal="left" shrinkToFit="0" vertical="center" wrapText="1"/>
    </xf>
    <xf borderId="14" fillId="6" fontId="11" numFmtId="165" xfId="0" applyAlignment="1" applyBorder="1" applyFill="1" applyFont="1" applyNumberFormat="1">
      <alignment horizontal="center" shrinkToFit="0" vertical="center" wrapText="1"/>
    </xf>
    <xf borderId="14" fillId="6" fontId="12" numFmtId="0" xfId="0" applyAlignment="1" applyBorder="1" applyFill="1" applyFont="1">
      <alignment horizontal="left" shrinkToFit="0" vertical="center" wrapText="1"/>
    </xf>
    <xf borderId="13" fillId="6" fontId="13" numFmtId="0" xfId="0" applyAlignment="1" applyBorder="1" applyFill="1" applyFont="1">
      <alignment horizontal="left" shrinkToFit="0" vertical="center" wrapText="1"/>
    </xf>
    <xf borderId="16" fillId="2" fontId="1" numFmtId="4" xfId="0" applyAlignment="1" applyBorder="1" applyFill="1" applyFont="1" applyNumberFormat="1">
      <alignment horizontal="center" vertical="center"/>
    </xf>
    <xf borderId="17" fillId="2" fontId="7" numFmtId="0" xfId="0" applyAlignment="1" applyBorder="1" applyFill="1" applyFont="1">
      <alignment horizontal="left" readingOrder="0" vertical="center"/>
    </xf>
    <xf borderId="14" fillId="6" fontId="14" numFmtId="10" xfId="0" applyAlignment="1" applyBorder="1" applyFill="1" applyFont="1" applyNumberFormat="1">
      <alignment horizontal="center" shrinkToFit="0" vertical="center" wrapText="1"/>
    </xf>
    <xf borderId="14" fillId="6" fontId="12" numFmtId="0" xfId="0" applyAlignment="1" applyBorder="1" applyFill="1" applyFont="1">
      <alignment horizontal="left" readingOrder="0" shrinkToFit="0" vertical="center" wrapText="1"/>
    </xf>
    <xf borderId="14" fillId="6" fontId="14" numFmtId="2" xfId="0" applyAlignment="1" applyBorder="1" applyFill="1" applyFont="1" applyNumberFormat="1">
      <alignment horizontal="center" shrinkToFit="0" vertical="center" wrapText="1"/>
    </xf>
    <xf borderId="18" fillId="6" fontId="13" numFmtId="0" xfId="0" applyAlignment="1" applyBorder="1" applyFill="1" applyFont="1">
      <alignment horizontal="left" shrinkToFit="0" vertical="center" wrapText="1"/>
    </xf>
    <xf borderId="19" fillId="6" fontId="14" numFmtId="9" xfId="0" applyAlignment="1" applyBorder="1" applyFill="1" applyFont="1" applyNumberFormat="1">
      <alignment horizontal="center" shrinkToFit="0" vertical="center" wrapText="1"/>
    </xf>
    <xf borderId="19" fillId="6" fontId="12" numFmtId="0" xfId="0" applyAlignment="1" applyBorder="1" applyFill="1" applyFont="1">
      <alignment horizontal="left" shrinkToFit="0" vertical="center" wrapText="1"/>
    </xf>
    <xf borderId="20" fillId="6" fontId="13" numFmtId="0" xfId="0" applyAlignment="1" applyBorder="1" applyFill="1" applyFont="1">
      <alignment horizontal="left" shrinkToFit="0" vertical="center" wrapText="1"/>
    </xf>
    <xf borderId="21" fillId="6" fontId="14" numFmtId="4" xfId="0" applyAlignment="1" applyBorder="1" applyFill="1" applyFont="1" applyNumberFormat="1">
      <alignment horizontal="center" shrinkToFit="0" vertical="center" wrapText="1"/>
    </xf>
    <xf borderId="21" fillId="6" fontId="12" numFmtId="0" xfId="0" applyAlignment="1" applyBorder="1" applyFill="1" applyFont="1">
      <alignment horizontal="left" shrinkToFit="0" vertical="center" wrapText="1"/>
    </xf>
    <xf borderId="22" fillId="0" fontId="4" numFmtId="0" xfId="0" applyAlignment="1" applyBorder="1" applyFont="1">
      <alignment horizontal="center" shrinkToFit="0" vertical="center" wrapText="1"/>
    </xf>
    <xf borderId="23" fillId="0" fontId="5" numFmtId="0" xfId="0" applyAlignment="1" applyBorder="1" applyFont="1">
      <alignment horizontal="center" shrinkToFit="0" vertical="center" wrapText="1"/>
    </xf>
    <xf borderId="21" fillId="6" fontId="14" numFmtId="1" xfId="0" applyAlignment="1" applyBorder="1" applyFill="1" applyFont="1" applyNumberFormat="1">
      <alignment horizontal="center" shrinkToFit="0" vertical="center" wrapText="1"/>
    </xf>
    <xf borderId="24" fillId="6" fontId="13" numFmtId="0" xfId="0" applyAlignment="1" applyBorder="1" applyFill="1" applyFont="1">
      <alignment horizontal="left" shrinkToFit="0" vertical="center" wrapText="1"/>
    </xf>
    <xf borderId="25" fillId="6" fontId="14" numFmtId="9" xfId="0" applyAlignment="1" applyBorder="1" applyFill="1" applyFont="1" applyNumberFormat="1">
      <alignment horizontal="center" shrinkToFit="0" vertical="center" wrapText="1"/>
    </xf>
    <xf borderId="25" fillId="6" fontId="12" numFmtId="0" xfId="0" applyAlignment="1" applyBorder="1" applyFill="1" applyFont="1">
      <alignment horizontal="left" shrinkToFit="0" vertical="center" wrapText="1"/>
    </xf>
    <xf borderId="21" fillId="6" fontId="14" numFmtId="9" xfId="0" applyAlignment="1" applyBorder="1" applyFill="1" applyFont="1" applyNumberFormat="1">
      <alignment horizontal="center" shrinkToFit="0" vertical="center" wrapText="1"/>
    </xf>
    <xf borderId="26" fillId="6" fontId="13" numFmtId="0" xfId="0" applyAlignment="1" applyBorder="1" applyFill="1" applyFont="1">
      <alignment horizontal="left" shrinkToFit="0" vertical="center" wrapText="1"/>
    </xf>
    <xf borderId="26" fillId="6" fontId="14" numFmtId="0" xfId="0" applyAlignment="1" applyBorder="1" applyFill="1" applyFont="1">
      <alignment horizontal="center" readingOrder="0" shrinkToFit="0" vertical="center" wrapText="1"/>
    </xf>
    <xf borderId="26" fillId="6" fontId="12" numFmtId="0" xfId="0" applyAlignment="1" applyBorder="1" applyFill="1" applyFont="1">
      <alignment horizontal="left" shrinkToFit="0" vertical="center" wrapText="1"/>
    </xf>
    <xf borderId="26" fillId="6" fontId="14" numFmtId="10" xfId="0" applyAlignment="1" applyBorder="1" applyFill="1" applyFont="1" applyNumberFormat="1">
      <alignment horizontal="center" shrinkToFit="0" vertical="center" wrapText="1"/>
    </xf>
    <xf borderId="26" fillId="6" fontId="12" numFmtId="0" xfId="0" applyAlignment="1" applyBorder="1" applyFill="1" applyFont="1">
      <alignment horizontal="left" readingOrder="0" shrinkToFit="0" vertical="center" wrapText="1"/>
    </xf>
    <xf borderId="26" fillId="6" fontId="15" numFmtId="0" xfId="0" applyAlignment="1" applyBorder="1" applyFill="1" applyFont="1">
      <alignment shrinkToFit="0" wrapText="1"/>
    </xf>
    <xf borderId="26" fillId="6" fontId="16" numFmtId="9" xfId="0" applyAlignment="1" applyBorder="1" applyFill="1" applyFont="1" applyNumberFormat="1">
      <alignment horizontal="center" readingOrder="0" shrinkToFit="0" wrapText="1"/>
    </xf>
    <xf borderId="0" fillId="0" fontId="4" numFmtId="0" xfId="0" applyFont="1"/>
    <xf borderId="11" fillId="0" fontId="4" numFmtId="0" xfId="0" applyBorder="1" applyFont="1"/>
    <xf borderId="26" fillId="6" fontId="15" numFmtId="0" xfId="0" applyAlignment="1" applyBorder="1" applyFill="1" applyFont="1">
      <alignment shrinkToFit="0" vertical="bottom" wrapText="1"/>
    </xf>
    <xf borderId="26" fillId="6" fontId="17" numFmtId="9" xfId="0" applyAlignment="1" applyBorder="1" applyFill="1" applyFont="1" applyNumberFormat="1">
      <alignment horizontal="center" readingOrder="0" shrinkToFit="0" vertical="bottom" wrapText="1"/>
    </xf>
    <xf borderId="26" fillId="6" fontId="18" numFmtId="0" xfId="0" applyAlignment="1" applyBorder="1" applyFill="1" applyFont="1">
      <alignment shrinkToFit="0" wrapText="1"/>
    </xf>
    <xf borderId="0" fillId="0" fontId="4" numFmtId="0" xfId="0" applyAlignment="1" applyFont="1">
      <alignment vertical="bottom"/>
    </xf>
    <xf borderId="11" fillId="0" fontId="4" numFmtId="0" xfId="0" applyAlignment="1" applyBorder="1" applyFont="1">
      <alignment vertical="bottom"/>
    </xf>
    <xf borderId="21" fillId="6" fontId="12" numFmtId="0" xfId="0" applyAlignment="1" applyBorder="1" applyFill="1" applyFont="1">
      <alignment horizontal="left" readingOrder="0" shrinkToFit="0" vertical="center" wrapText="1"/>
    </xf>
    <xf borderId="20" fillId="6" fontId="15" numFmtId="0" xfId="0" applyAlignment="1" applyBorder="1" applyFill="1" applyFont="1">
      <alignment shrinkToFit="0" wrapText="1"/>
    </xf>
    <xf borderId="21" fillId="6" fontId="16" numFmtId="1" xfId="0" applyAlignment="1" applyBorder="1" applyFill="1" applyFont="1" applyNumberFormat="1">
      <alignment horizontal="center" shrinkToFit="0" wrapText="1"/>
    </xf>
    <xf borderId="21" fillId="6" fontId="12" numFmtId="0" xfId="0" applyAlignment="1" applyBorder="1" applyFill="1" applyFont="1">
      <alignment shrinkToFit="0" wrapText="1"/>
    </xf>
    <xf borderId="22" fillId="0" fontId="4" numFmtId="0" xfId="0" applyBorder="1" applyFont="1"/>
    <xf borderId="23" fillId="0" fontId="4" numFmtId="0" xfId="0" applyBorder="1" applyFont="1"/>
    <xf borderId="26" fillId="6" fontId="19" numFmtId="0" xfId="0" applyAlignment="1" applyBorder="1" applyFill="1" applyFont="1">
      <alignment horizontal="left" readingOrder="0" shrinkToFit="0" vertical="center" wrapText="1"/>
    </xf>
    <xf borderId="26" fillId="6" fontId="11" numFmtId="165" xfId="0" applyAlignment="1" applyBorder="1" applyFill="1" applyFont="1" applyNumberFormat="1">
      <alignment horizontal="center" shrinkToFit="0" vertical="center" wrapText="1"/>
    </xf>
    <xf borderId="27" fillId="4" fontId="6" numFmtId="0" xfId="0" applyAlignment="1" applyBorder="1" applyFill="1" applyFont="1">
      <alignment horizontal="left" shrinkToFit="0" vertical="center" wrapText="1"/>
    </xf>
    <xf borderId="28" fillId="0" fontId="3" numFmtId="0" xfId="0" applyBorder="1" applyFont="1"/>
    <xf borderId="20" fillId="5" fontId="20" numFmtId="0" xfId="0" applyAlignment="1" applyBorder="1" applyFill="1" applyFont="1">
      <alignment horizontal="left" shrinkToFit="0" vertical="center" wrapText="1"/>
    </xf>
    <xf borderId="21" fillId="7" fontId="11" numFmtId="164" xfId="0" applyAlignment="1" applyBorder="1" applyFill="1" applyFont="1" applyNumberFormat="1">
      <alignment horizontal="center" readingOrder="0" shrinkToFit="0" vertical="center" wrapText="1"/>
    </xf>
    <xf borderId="26" fillId="5" fontId="20" numFmtId="0" xfId="0" applyAlignment="1" applyBorder="1" applyFill="1" applyFont="1">
      <alignment horizontal="left" shrinkToFit="0" vertical="center" wrapText="1"/>
    </xf>
    <xf borderId="29" fillId="7" fontId="11" numFmtId="164" xfId="0" applyAlignment="1" applyBorder="1" applyFill="1" applyFont="1" applyNumberFormat="1">
      <alignment horizontal="center" readingOrder="0" shrinkToFit="0" vertical="center" wrapText="1"/>
    </xf>
    <xf borderId="29" fillId="6" fontId="12" numFmtId="0" xfId="0" applyAlignment="1" applyBorder="1" applyFill="1" applyFont="1">
      <alignment horizontal="left" readingOrder="0" shrinkToFit="0" vertical="center" wrapText="1"/>
    </xf>
    <xf borderId="30" fillId="5" fontId="20" numFmtId="0" xfId="0" applyAlignment="1" applyBorder="1" applyFill="1" applyFont="1">
      <alignment horizontal="left" shrinkToFit="0" vertical="center" wrapText="1"/>
    </xf>
    <xf borderId="31" fillId="7" fontId="11" numFmtId="164" xfId="0" applyAlignment="1" applyBorder="1" applyFill="1" applyFont="1" applyNumberFormat="1">
      <alignment horizontal="center" readingOrder="0" shrinkToFit="0" vertical="center" wrapText="1"/>
    </xf>
    <xf borderId="31" fillId="6" fontId="12" numFmtId="0" xfId="0" applyAlignment="1" applyBorder="1" applyFill="1" applyFont="1">
      <alignment horizontal="left" shrinkToFit="0" vertical="center" wrapText="1"/>
    </xf>
    <xf borderId="13" fillId="5" fontId="20" numFmtId="0" xfId="0" applyAlignment="1" applyBorder="1" applyFill="1" applyFont="1">
      <alignment horizontal="left" shrinkToFit="0" vertical="center" wrapText="1"/>
    </xf>
    <xf borderId="14" fillId="7" fontId="11" numFmtId="164" xfId="0" applyAlignment="1" applyBorder="1" applyFill="1" applyFont="1" applyNumberFormat="1">
      <alignment horizontal="center" readingOrder="0" shrinkToFit="0" vertical="center" wrapText="1"/>
    </xf>
    <xf borderId="14" fillId="7" fontId="11" numFmtId="4" xfId="0" applyAlignment="1" applyBorder="1" applyFill="1" applyFont="1" applyNumberFormat="1">
      <alignment horizontal="center" readingOrder="0" shrinkToFit="0" vertical="center" wrapText="1"/>
    </xf>
    <xf borderId="0" fillId="6" fontId="12" numFmtId="0" xfId="0" applyAlignment="1" applyFill="1" applyFont="1">
      <alignment horizontal="left" shrinkToFit="0" vertical="center" wrapText="1"/>
    </xf>
    <xf borderId="14" fillId="7" fontId="11" numFmtId="0" xfId="0" applyAlignment="1" applyBorder="1" applyFill="1" applyFont="1">
      <alignment horizontal="center" readingOrder="0" shrinkToFit="0" vertical="center" wrapText="1"/>
    </xf>
    <xf borderId="0" fillId="0" fontId="21" numFmtId="0" xfId="0" applyAlignment="1" applyFont="1">
      <alignment horizontal="left" shrinkToFit="0" vertical="center" wrapText="1"/>
    </xf>
    <xf borderId="13" fillId="5" fontId="19" numFmtId="0" xfId="0" applyAlignment="1" applyBorder="1" applyFill="1" applyFont="1">
      <alignment horizontal="left" shrinkToFit="0" vertical="center" wrapText="1"/>
    </xf>
    <xf borderId="14" fillId="8" fontId="11" numFmtId="10" xfId="0" applyAlignment="1" applyBorder="1" applyFill="1" applyFont="1" applyNumberFormat="1">
      <alignment horizontal="center" shrinkToFit="0" vertical="center" wrapText="1"/>
    </xf>
    <xf borderId="14" fillId="8" fontId="11" numFmtId="2" xfId="0" applyAlignment="1" applyBorder="1" applyFill="1" applyFont="1" applyNumberFormat="1">
      <alignment horizontal="center" shrinkToFit="0" vertical="center" wrapText="1"/>
    </xf>
    <xf borderId="14" fillId="8" fontId="11" numFmtId="4" xfId="0" applyAlignment="1" applyBorder="1" applyFill="1" applyFont="1" applyNumberFormat="1">
      <alignment horizontal="center" shrinkToFit="0" vertical="center" wrapText="1"/>
    </xf>
    <xf borderId="14" fillId="6" fontId="13" numFmtId="164" xfId="0" applyAlignment="1" applyBorder="1" applyFill="1" applyFont="1" applyNumberFormat="1">
      <alignment horizontal="center" shrinkToFit="0" vertical="center" wrapText="1"/>
    </xf>
    <xf borderId="14" fillId="6" fontId="13" numFmtId="1" xfId="0" applyAlignment="1" applyBorder="1" applyFill="1" applyFont="1" applyNumberFormat="1">
      <alignment horizontal="center" shrinkToFit="0" vertical="center" wrapText="1"/>
    </xf>
    <xf borderId="19" fillId="6" fontId="13" numFmtId="1" xfId="0" applyAlignment="1" applyBorder="1" applyFill="1" applyFont="1" applyNumberFormat="1">
      <alignment horizontal="center" shrinkToFit="0" vertical="center" wrapText="1"/>
    </xf>
    <xf borderId="0" fillId="6" fontId="13" numFmtId="0" xfId="0" applyAlignment="1" applyFill="1" applyFont="1">
      <alignment horizontal="left" shrinkToFit="0" vertical="center" wrapText="1"/>
    </xf>
    <xf borderId="0" fillId="6" fontId="13" numFmtId="1" xfId="0" applyAlignment="1" applyFill="1" applyFont="1" applyNumberFormat="1">
      <alignment horizontal="center" shrinkToFit="0" vertical="center" wrapText="1"/>
    </xf>
    <xf borderId="0" fillId="9" fontId="22" numFmtId="0" xfId="0" applyAlignment="1" applyFill="1" applyFont="1">
      <alignment horizontal="left" shrinkToFit="0" vertical="center" wrapText="1"/>
    </xf>
    <xf borderId="0" fillId="6" fontId="4" numFmtId="0" xfId="0" applyAlignment="1" applyFill="1" applyFont="1">
      <alignment horizontal="center" shrinkToFit="0" vertical="center" wrapText="1"/>
    </xf>
    <xf borderId="32" fillId="10" fontId="6" numFmtId="0" xfId="0" applyAlignment="1" applyBorder="1" applyFill="1" applyFont="1">
      <alignment horizontal="left" shrinkToFit="0" vertical="center" wrapText="1"/>
    </xf>
    <xf borderId="33" fillId="0" fontId="3" numFmtId="0" xfId="0" applyBorder="1" applyFont="1"/>
    <xf borderId="34" fillId="0" fontId="3" numFmtId="0" xfId="0" applyBorder="1" applyFont="1"/>
    <xf borderId="35" fillId="11" fontId="23" numFmtId="0" xfId="0" applyAlignment="1" applyBorder="1" applyFill="1" applyFont="1">
      <alignment horizontal="left" shrinkToFit="0" vertical="center" wrapText="1"/>
    </xf>
    <xf borderId="36" fillId="11" fontId="23" numFmtId="4" xfId="0" applyAlignment="1" applyBorder="1" applyFill="1" applyFont="1" applyNumberFormat="1">
      <alignment horizontal="center" shrinkToFit="0" vertical="center" wrapText="1"/>
    </xf>
    <xf borderId="37" fillId="6" fontId="4" numFmtId="0" xfId="0" applyAlignment="1" applyBorder="1" applyFill="1" applyFont="1">
      <alignment horizontal="left" shrinkToFit="0" vertical="center" wrapText="1"/>
    </xf>
    <xf borderId="38" fillId="11" fontId="23" numFmtId="0" xfId="0" applyAlignment="1" applyBorder="1" applyFill="1" applyFont="1">
      <alignment horizontal="left" shrinkToFit="0" vertical="center" wrapText="1"/>
    </xf>
    <xf borderId="14" fillId="11" fontId="11" numFmtId="1" xfId="0" applyAlignment="1" applyBorder="1" applyFill="1" applyFont="1" applyNumberFormat="1">
      <alignment horizontal="center" shrinkToFit="0" vertical="center" wrapText="1"/>
    </xf>
    <xf borderId="37" fillId="6" fontId="24" numFmtId="0" xfId="0" applyAlignment="1" applyBorder="1" applyFill="1" applyFont="1">
      <alignment horizontal="left" shrinkToFit="0" vertical="center" wrapText="1"/>
    </xf>
    <xf borderId="14" fillId="11" fontId="23" numFmtId="164" xfId="0" applyAlignment="1" applyBorder="1" applyFill="1" applyFont="1" applyNumberFormat="1">
      <alignment horizontal="center" shrinkToFit="0" vertical="center" wrapText="1"/>
    </xf>
    <xf borderId="37" fillId="6" fontId="24" numFmtId="0" xfId="0" applyAlignment="1" applyBorder="1" applyFill="1" applyFont="1">
      <alignment horizontal="left" readingOrder="0" shrinkToFit="0" vertical="center" wrapText="1"/>
    </xf>
    <xf borderId="38" fillId="11" fontId="25" numFmtId="0" xfId="0" applyAlignment="1" applyBorder="1" applyFill="1" applyFont="1">
      <alignment shrinkToFit="0" vertical="center" wrapText="1"/>
    </xf>
    <xf borderId="14" fillId="9" fontId="25" numFmtId="164" xfId="0" applyAlignment="1" applyBorder="1" applyFill="1" applyFont="1" applyNumberFormat="1">
      <alignment horizontal="center" shrinkToFit="0" vertical="center" wrapText="1"/>
    </xf>
    <xf borderId="14" fillId="11" fontId="25" numFmtId="164" xfId="0" applyAlignment="1" applyBorder="1" applyFill="1" applyFont="1" applyNumberFormat="1">
      <alignment horizontal="center" shrinkToFit="0" vertical="center" wrapText="1"/>
    </xf>
    <xf borderId="14" fillId="11" fontId="26" numFmtId="165" xfId="0" applyAlignment="1" applyBorder="1" applyFill="1" applyFont="1" applyNumberFormat="1">
      <alignment horizontal="center" shrinkToFit="0" vertical="center" wrapText="1"/>
    </xf>
    <xf borderId="14" fillId="11" fontId="26" numFmtId="4" xfId="0" applyAlignment="1" applyBorder="1" applyFill="1" applyFont="1" applyNumberFormat="1">
      <alignment horizontal="center" shrinkToFit="0" vertical="center" wrapText="1"/>
    </xf>
    <xf borderId="39" fillId="11" fontId="23" numFmtId="0" xfId="0" applyAlignment="1" applyBorder="1" applyFill="1" applyFont="1">
      <alignment horizontal="left" shrinkToFit="0" vertical="center" wrapText="1"/>
    </xf>
    <xf borderId="19" fillId="11" fontId="27" numFmtId="165" xfId="0" applyAlignment="1" applyBorder="1" applyFill="1" applyFont="1" applyNumberFormat="1">
      <alignment horizontal="center" shrinkToFit="0" vertical="center" wrapText="1"/>
    </xf>
    <xf borderId="40" fillId="11" fontId="23" numFmtId="0" xfId="0" applyAlignment="1" applyBorder="1" applyFill="1" applyFont="1">
      <alignment horizontal="left" shrinkToFit="0" vertical="center" wrapText="1"/>
    </xf>
    <xf borderId="41" fillId="11" fontId="27" numFmtId="4" xfId="0" applyAlignment="1" applyBorder="1" applyFill="1" applyFont="1" applyNumberFormat="1">
      <alignment horizontal="center" shrinkToFit="0" vertical="center" wrapText="1"/>
    </xf>
    <xf borderId="42" fillId="6" fontId="24" numFmtId="0" xfId="0" applyAlignment="1" applyBorder="1" applyFill="1" applyFont="1">
      <alignment horizontal="left" shrinkToFit="0" vertical="center" wrapText="1"/>
    </xf>
    <xf borderId="41" fillId="11" fontId="28" numFmtId="165" xfId="0" applyAlignment="1" applyBorder="1" applyFill="1" applyFont="1" applyNumberFormat="1">
      <alignment horizontal="center" shrinkToFit="0" vertical="center" wrapText="1"/>
    </xf>
    <xf borderId="42" fillId="6" fontId="24" numFmtId="0" xfId="0" applyAlignment="1" applyBorder="1" applyFill="1" applyFont="1">
      <alignment horizontal="left" readingOrder="0" shrinkToFit="0" vertical="center" wrapText="1"/>
    </xf>
    <xf borderId="41" fillId="11" fontId="28" numFmtId="4" xfId="0" applyAlignment="1" applyBorder="1" applyFill="1" applyFont="1" applyNumberFormat="1">
      <alignment horizontal="center" shrinkToFit="0" vertical="center" wrapText="1"/>
    </xf>
    <xf borderId="43" fillId="11" fontId="23" numFmtId="0" xfId="0" applyAlignment="1" applyBorder="1" applyFill="1" applyFont="1">
      <alignment horizontal="left" shrinkToFit="0" vertical="center" wrapText="1"/>
    </xf>
    <xf borderId="44" fillId="11" fontId="28" numFmtId="165" xfId="0" applyAlignment="1" applyBorder="1" applyFill="1" applyFont="1" applyNumberFormat="1">
      <alignment horizontal="center" shrinkToFit="0" vertical="center" wrapText="1"/>
    </xf>
    <xf borderId="45" fillId="6" fontId="24" numFmtId="0" xfId="0" applyAlignment="1" applyBorder="1" applyFill="1" applyFont="1">
      <alignment horizontal="left" shrinkToFit="0" vertical="center" wrapText="1"/>
    </xf>
    <xf borderId="26" fillId="0" fontId="4" numFmtId="0" xfId="0" applyAlignment="1" applyBorder="1" applyFont="1">
      <alignment horizontal="left" shrinkToFit="0" vertical="center" wrapText="1"/>
    </xf>
    <xf borderId="29" fillId="0" fontId="4" numFmtId="164" xfId="0" applyAlignment="1" applyBorder="1" applyFont="1" applyNumberFormat="1">
      <alignment horizontal="center" shrinkToFit="0" vertical="center" wrapText="1"/>
    </xf>
    <xf borderId="29" fillId="0" fontId="4" numFmtId="0" xfId="0" applyAlignment="1" applyBorder="1" applyFont="1">
      <alignment horizontal="left" shrinkToFit="0" vertical="center" wrapText="1"/>
    </xf>
    <xf borderId="26" fillId="0" fontId="5" numFmtId="0" xfId="0" applyAlignment="1" applyBorder="1" applyFont="1">
      <alignment horizontal="left" shrinkToFit="0" vertical="center" wrapText="1"/>
    </xf>
    <xf borderId="29" fillId="0" fontId="5" numFmtId="0" xfId="0" applyAlignment="1" applyBorder="1" applyFont="1">
      <alignment horizontal="center" shrinkToFit="0" vertical="center" wrapText="1"/>
    </xf>
    <xf borderId="29" fillId="0" fontId="5" numFmtId="0" xfId="0" applyAlignment="1" applyBorder="1" applyFont="1">
      <alignment horizontal="left" shrinkToFit="0" vertical="center" wrapText="1"/>
    </xf>
    <xf borderId="0" fillId="0" fontId="5" numFmtId="0" xfId="0" applyAlignment="1" applyFont="1">
      <alignment horizontal="center" shrinkToFit="0" vertical="center" wrapText="1"/>
    </xf>
  </cellXfs>
  <cellStyles count="1">
    <cellStyle xfId="0" name="Normal" builtinId="0"/>
  </cellStyles>
  <dxfs count="5">
    <dxf>
      <font>
        <color rgb="FF000000"/>
      </font>
      <fill>
        <patternFill patternType="solid">
          <fgColor rgb="FF2E74B5"/>
          <bgColor rgb="FF2E74B5"/>
        </patternFill>
      </fill>
      <border/>
    </dxf>
    <dxf>
      <font>
        <color rgb="FF000000"/>
      </font>
      <fill>
        <patternFill patternType="solid">
          <fgColor rgb="FFE69138"/>
          <bgColor rgb="FFE69138"/>
        </patternFill>
      </fill>
      <border/>
    </dxf>
    <dxf>
      <font/>
      <fill>
        <patternFill patternType="solid">
          <fgColor rgb="FF2E74B5"/>
          <bgColor rgb="FF2E74B5"/>
        </patternFill>
      </fill>
      <border/>
    </dxf>
    <dxf>
      <font>
        <color rgb="FFEFEFEF"/>
      </font>
      <fill>
        <patternFill patternType="solid">
          <fgColor rgb="FFEFEFEF"/>
          <bgColor rgb="FFEFEFEF"/>
        </patternFill>
      </fill>
      <border/>
    </dxf>
    <dxf>
      <font>
        <color theme="1"/>
      </font>
      <fill>
        <patternFill patternType="solid">
          <fgColor rgb="FF2E74B5"/>
          <bgColor rgb="FF2E74B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24</xdr:row>
      <xdr:rowOff>0</xdr:rowOff>
    </xdr:from>
    <xdr:ext cx="1619250"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26.71"/>
    <col customWidth="1" min="3" max="3" width="121.14"/>
    <col customWidth="1" min="4" max="5" width="8.71"/>
    <col customWidth="1" min="6" max="6" width="16.14"/>
    <col customWidth="1" min="7" max="23" width="8.71"/>
  </cols>
  <sheetData>
    <row r="1" ht="36.0" customHeight="1">
      <c r="A1" s="2" t="s">
        <v>1</v>
      </c>
      <c r="B1" s="3"/>
      <c r="C1" s="3"/>
      <c r="D1" s="4"/>
      <c r="E1" s="4"/>
      <c r="F1" s="4"/>
      <c r="G1" s="4"/>
      <c r="H1" s="4"/>
      <c r="I1" s="4"/>
      <c r="J1" s="4"/>
      <c r="K1" s="4"/>
      <c r="L1" s="4"/>
      <c r="M1" s="4"/>
      <c r="N1" s="4"/>
      <c r="O1" s="4"/>
      <c r="P1" s="4"/>
      <c r="Q1" s="4"/>
      <c r="R1" s="4"/>
      <c r="S1" s="4"/>
      <c r="T1" s="4"/>
      <c r="U1" s="4"/>
      <c r="V1" s="4"/>
      <c r="W1" s="4"/>
      <c r="X1" s="4"/>
      <c r="Y1" s="4"/>
      <c r="Z1" s="5"/>
    </row>
    <row r="2" ht="21.75" customHeight="1">
      <c r="A2" s="7" t="s">
        <v>2</v>
      </c>
      <c r="B2" s="9"/>
      <c r="C2" s="9"/>
      <c r="D2" s="11"/>
      <c r="E2" s="11"/>
      <c r="F2" s="11"/>
      <c r="G2" s="11"/>
      <c r="H2" s="11"/>
      <c r="I2" s="11"/>
      <c r="J2" s="11"/>
      <c r="K2" s="11"/>
      <c r="L2" s="11"/>
      <c r="M2" s="11"/>
      <c r="N2" s="11"/>
      <c r="O2" s="11"/>
      <c r="P2" s="11"/>
      <c r="Q2" s="11"/>
      <c r="R2" s="11"/>
      <c r="S2" s="11"/>
      <c r="T2" s="11"/>
      <c r="U2" s="11"/>
      <c r="V2" s="11"/>
      <c r="W2" s="11"/>
      <c r="X2" s="11"/>
      <c r="Y2" s="11"/>
      <c r="Z2" s="12"/>
    </row>
    <row r="3" ht="21.75" customHeight="1">
      <c r="A3" s="15" t="s">
        <v>5</v>
      </c>
      <c r="B3" s="17" t="s">
        <v>7</v>
      </c>
      <c r="C3" s="19" t="s">
        <v>10</v>
      </c>
      <c r="D3" s="11"/>
      <c r="E3" s="11"/>
      <c r="F3" s="11"/>
      <c r="G3" s="11"/>
      <c r="H3" s="11"/>
      <c r="I3" s="11"/>
      <c r="J3" s="11"/>
      <c r="K3" s="11"/>
      <c r="L3" s="11"/>
      <c r="M3" s="11"/>
      <c r="N3" s="11"/>
      <c r="O3" s="11"/>
      <c r="P3" s="11"/>
      <c r="Q3" s="11"/>
      <c r="R3" s="11"/>
      <c r="S3" s="11"/>
      <c r="T3" s="11"/>
      <c r="U3" s="11"/>
      <c r="V3" s="11"/>
      <c r="W3" s="11"/>
      <c r="X3" s="11"/>
      <c r="Y3" s="11"/>
      <c r="Z3" s="12"/>
    </row>
    <row r="4" ht="32.25" customHeight="1">
      <c r="A4" s="20" t="s">
        <v>11</v>
      </c>
      <c r="B4" s="21">
        <v>400000.0</v>
      </c>
      <c r="C4" s="22" t="s">
        <v>12</v>
      </c>
      <c r="D4" s="11"/>
      <c r="E4" s="11"/>
      <c r="F4" s="11"/>
      <c r="G4" s="11"/>
      <c r="H4" s="11"/>
      <c r="I4" s="11"/>
      <c r="J4" s="11"/>
      <c r="K4" s="11"/>
      <c r="L4" s="11"/>
      <c r="M4" s="11"/>
      <c r="N4" s="11"/>
      <c r="O4" s="11"/>
      <c r="P4" s="11"/>
      <c r="Q4" s="11"/>
      <c r="R4" s="11"/>
      <c r="S4" s="11"/>
      <c r="T4" s="11"/>
      <c r="U4" s="11"/>
      <c r="V4" s="11"/>
      <c r="W4" s="11"/>
      <c r="X4" s="11"/>
      <c r="Y4" s="11"/>
      <c r="Z4" s="12"/>
    </row>
    <row r="5" ht="21.75" hidden="1" customHeight="1">
      <c r="A5" s="23" t="s">
        <v>13</v>
      </c>
      <c r="B5" s="26">
        <f>IF(B21="Short",0.02,0.03)</f>
        <v>0.03</v>
      </c>
      <c r="C5" s="27" t="s">
        <v>15</v>
      </c>
      <c r="D5" s="11"/>
      <c r="E5" s="11"/>
      <c r="F5" s="11"/>
      <c r="G5" s="11"/>
      <c r="H5" s="11"/>
      <c r="I5" s="11"/>
      <c r="J5" s="11"/>
      <c r="K5" s="11"/>
      <c r="L5" s="11"/>
      <c r="M5" s="11"/>
      <c r="N5" s="11"/>
      <c r="O5" s="11"/>
      <c r="P5" s="11"/>
      <c r="Q5" s="11"/>
      <c r="R5" s="11"/>
      <c r="S5" s="11"/>
      <c r="T5" s="11"/>
      <c r="U5" s="11"/>
      <c r="V5" s="11"/>
      <c r="W5" s="11"/>
      <c r="X5" s="11"/>
      <c r="Y5" s="11"/>
      <c r="Z5" s="12"/>
    </row>
    <row r="6" ht="30.0" hidden="1" customHeight="1">
      <c r="A6" s="23" t="s">
        <v>16</v>
      </c>
      <c r="B6" s="28">
        <v>4.75</v>
      </c>
      <c r="C6" s="22" t="s">
        <v>17</v>
      </c>
      <c r="D6" s="11"/>
      <c r="E6" s="11"/>
      <c r="F6" s="11"/>
      <c r="G6" s="11"/>
      <c r="H6" s="11"/>
      <c r="I6" s="11"/>
      <c r="J6" s="11"/>
      <c r="K6" s="11"/>
      <c r="L6" s="11"/>
      <c r="M6" s="11"/>
      <c r="N6" s="11"/>
      <c r="O6" s="11"/>
      <c r="P6" s="11"/>
      <c r="Q6" s="11"/>
      <c r="R6" s="11"/>
      <c r="S6" s="11"/>
      <c r="T6" s="11"/>
      <c r="U6" s="11"/>
      <c r="V6" s="11"/>
      <c r="W6" s="11"/>
      <c r="X6" s="11"/>
      <c r="Y6" s="11"/>
      <c r="Z6" s="12"/>
    </row>
    <row r="7" ht="21.75" hidden="1" customHeight="1">
      <c r="A7" s="29" t="s">
        <v>18</v>
      </c>
      <c r="B7" s="30">
        <v>0.5</v>
      </c>
      <c r="C7" s="31" t="s">
        <v>19</v>
      </c>
      <c r="D7" s="11"/>
      <c r="E7" s="11"/>
      <c r="F7" s="11"/>
      <c r="G7" s="11"/>
      <c r="H7" s="11"/>
      <c r="I7" s="11"/>
      <c r="J7" s="11"/>
      <c r="K7" s="11"/>
      <c r="L7" s="11"/>
      <c r="M7" s="11"/>
      <c r="N7" s="11"/>
      <c r="O7" s="11"/>
      <c r="P7" s="11"/>
      <c r="Q7" s="11"/>
      <c r="R7" s="11"/>
      <c r="S7" s="11"/>
      <c r="T7" s="11"/>
      <c r="U7" s="11"/>
      <c r="V7" s="11"/>
      <c r="W7" s="11"/>
      <c r="X7" s="11"/>
      <c r="Y7" s="11"/>
      <c r="Z7" s="12"/>
    </row>
    <row r="8" ht="21.75" hidden="1" customHeight="1">
      <c r="A8" s="32" t="s">
        <v>20</v>
      </c>
      <c r="B8" s="33">
        <f>IF(
  B21="Long",
  IFS(
    B22="NSE Topers",8,
    B22="EVB",6
  ),
  6
)
+IF(
  AND(B28="Strong",B21="Long"),
  4,
  0
)</f>
        <v>6</v>
      </c>
      <c r="C8" s="34" t="str">
        <f>round(B8, 2) &amp; "R"</f>
        <v>6R</v>
      </c>
      <c r="D8" s="35"/>
      <c r="E8" s="35"/>
      <c r="F8" s="35"/>
      <c r="G8" s="35"/>
      <c r="H8" s="35"/>
      <c r="I8" s="35"/>
      <c r="J8" s="35"/>
      <c r="K8" s="35"/>
      <c r="L8" s="35"/>
      <c r="M8" s="35"/>
      <c r="N8" s="35"/>
      <c r="O8" s="35"/>
      <c r="P8" s="35"/>
      <c r="Q8" s="35"/>
      <c r="R8" s="35"/>
      <c r="S8" s="35"/>
      <c r="T8" s="35"/>
      <c r="U8" s="35"/>
      <c r="V8" s="35"/>
      <c r="W8" s="35"/>
      <c r="X8" s="35"/>
      <c r="Y8" s="35"/>
      <c r="Z8" s="36"/>
    </row>
    <row r="9" ht="21.75" hidden="1" customHeight="1">
      <c r="A9" s="32" t="s">
        <v>21</v>
      </c>
      <c r="B9" s="37">
        <f>CEILING(B8*2,1)
 </f>
        <v>12</v>
      </c>
      <c r="C9" s="34" t="str">
        <f>B9 &amp; "R"</f>
        <v>12R</v>
      </c>
      <c r="D9" s="35"/>
      <c r="E9" s="35"/>
      <c r="F9" s="35"/>
      <c r="G9" s="35"/>
      <c r="H9" s="35"/>
      <c r="I9" s="35"/>
      <c r="J9" s="35"/>
      <c r="K9" s="35"/>
      <c r="L9" s="35"/>
      <c r="M9" s="35"/>
      <c r="N9" s="35"/>
      <c r="O9" s="35"/>
      <c r="P9" s="35"/>
      <c r="Q9" s="35"/>
      <c r="R9" s="35"/>
      <c r="S9" s="35"/>
      <c r="T9" s="35"/>
      <c r="U9" s="35"/>
      <c r="V9" s="35"/>
      <c r="W9" s="35"/>
      <c r="X9" s="35"/>
      <c r="Y9" s="35"/>
      <c r="Z9" s="36"/>
    </row>
    <row r="10" ht="21.75" hidden="1" customHeight="1">
      <c r="A10" s="38" t="s">
        <v>22</v>
      </c>
      <c r="B10" s="39">
        <v>0.1</v>
      </c>
      <c r="C10" s="40" t="s">
        <v>23</v>
      </c>
      <c r="D10" s="4"/>
      <c r="E10" s="4"/>
      <c r="F10" s="4"/>
      <c r="G10" s="4"/>
      <c r="H10" s="4"/>
      <c r="I10" s="4"/>
      <c r="J10" s="4"/>
      <c r="K10" s="4"/>
      <c r="L10" s="4"/>
      <c r="M10" s="4"/>
      <c r="N10" s="4"/>
      <c r="O10" s="4"/>
      <c r="P10" s="4"/>
      <c r="Q10" s="4"/>
      <c r="R10" s="4"/>
      <c r="S10" s="4"/>
      <c r="T10" s="4"/>
      <c r="U10" s="4"/>
      <c r="V10" s="4"/>
      <c r="W10" s="4"/>
      <c r="X10" s="4"/>
      <c r="Y10" s="4"/>
      <c r="Z10" s="5"/>
    </row>
    <row r="11" ht="21.75" hidden="1" customHeight="1">
      <c r="A11" s="32" t="s">
        <v>24</v>
      </c>
      <c r="B11" s="41">
        <v>0.5</v>
      </c>
      <c r="C11" s="34" t="s">
        <v>25</v>
      </c>
      <c r="D11" s="35"/>
      <c r="E11" s="35"/>
      <c r="F11" s="35"/>
      <c r="G11" s="35"/>
      <c r="H11" s="35"/>
      <c r="I11" s="35"/>
      <c r="J11" s="35"/>
      <c r="K11" s="35"/>
      <c r="L11" s="35"/>
      <c r="M11" s="35"/>
      <c r="N11" s="35"/>
      <c r="O11" s="35"/>
      <c r="P11" s="35"/>
      <c r="Q11" s="35"/>
      <c r="R11" s="35"/>
      <c r="S11" s="35"/>
      <c r="T11" s="35"/>
      <c r="U11" s="35"/>
      <c r="V11" s="35"/>
      <c r="W11" s="35"/>
      <c r="X11" s="35"/>
      <c r="Y11" s="35"/>
      <c r="Z11" s="36"/>
    </row>
    <row r="12" ht="21.75" hidden="1" customHeight="1">
      <c r="A12" s="42" t="s">
        <v>26</v>
      </c>
      <c r="B12" s="43">
        <v>2.1</v>
      </c>
      <c r="C12" s="44" t="s">
        <v>27</v>
      </c>
      <c r="D12" s="11"/>
      <c r="E12" s="11"/>
      <c r="F12" s="11"/>
      <c r="G12" s="11"/>
      <c r="H12" s="11"/>
      <c r="I12" s="11"/>
      <c r="J12" s="11"/>
      <c r="K12" s="11"/>
      <c r="L12" s="11"/>
      <c r="M12" s="11"/>
      <c r="N12" s="11"/>
      <c r="O12" s="11"/>
      <c r="P12" s="11"/>
      <c r="Q12" s="11"/>
      <c r="R12" s="11"/>
      <c r="S12" s="11"/>
      <c r="T12" s="11"/>
      <c r="U12" s="11"/>
      <c r="V12" s="11"/>
      <c r="W12" s="11"/>
      <c r="X12" s="11"/>
      <c r="Y12" s="11"/>
      <c r="Z12" s="12"/>
    </row>
    <row r="13" ht="21.75" hidden="1" customHeight="1">
      <c r="A13" s="42" t="s">
        <v>28</v>
      </c>
      <c r="B13" s="45">
        <v>0.0125</v>
      </c>
      <c r="C13" s="46" t="s">
        <v>29</v>
      </c>
      <c r="D13" s="11"/>
      <c r="E13" s="11"/>
      <c r="F13" s="11"/>
      <c r="G13" s="11"/>
      <c r="H13" s="11"/>
      <c r="I13" s="11"/>
      <c r="J13" s="11"/>
      <c r="K13" s="11"/>
      <c r="L13" s="11"/>
      <c r="M13" s="11"/>
      <c r="N13" s="11"/>
      <c r="O13" s="11"/>
      <c r="P13" s="11"/>
      <c r="Q13" s="11"/>
      <c r="R13" s="11"/>
      <c r="S13" s="11"/>
      <c r="T13" s="11"/>
      <c r="U13" s="11"/>
      <c r="V13" s="11"/>
      <c r="W13" s="11"/>
      <c r="X13" s="11"/>
      <c r="Y13" s="11"/>
      <c r="Z13" s="12"/>
    </row>
    <row r="14" ht="21.75" hidden="1" customHeight="1">
      <c r="A14" s="47" t="s">
        <v>30</v>
      </c>
      <c r="B14" s="48">
        <v>0.05</v>
      </c>
      <c r="C14" s="46" t="s">
        <v>31</v>
      </c>
      <c r="D14" s="49"/>
      <c r="E14" s="49"/>
      <c r="F14" s="49"/>
      <c r="G14" s="49"/>
      <c r="H14" s="49"/>
      <c r="I14" s="49"/>
      <c r="J14" s="49"/>
      <c r="K14" s="49"/>
      <c r="L14" s="49"/>
      <c r="M14" s="49"/>
      <c r="N14" s="49"/>
      <c r="O14" s="49"/>
      <c r="P14" s="49"/>
      <c r="Q14" s="49"/>
      <c r="R14" s="49"/>
      <c r="S14" s="49"/>
      <c r="T14" s="49"/>
      <c r="U14" s="49"/>
      <c r="V14" s="49"/>
      <c r="W14" s="49"/>
      <c r="X14" s="49"/>
      <c r="Y14" s="49"/>
      <c r="Z14" s="50"/>
    </row>
    <row r="15" ht="21.75" hidden="1" customHeight="1">
      <c r="A15" s="51" t="s">
        <v>32</v>
      </c>
      <c r="B15" s="52">
        <v>0.1</v>
      </c>
      <c r="C15" s="53" t="s">
        <v>33</v>
      </c>
      <c r="D15" s="54"/>
      <c r="E15" s="54"/>
      <c r="F15" s="54"/>
      <c r="G15" s="54"/>
      <c r="H15" s="54"/>
      <c r="I15" s="54"/>
      <c r="J15" s="54"/>
      <c r="K15" s="54"/>
      <c r="L15" s="54"/>
      <c r="M15" s="54"/>
      <c r="N15" s="54"/>
      <c r="O15" s="54"/>
      <c r="P15" s="54"/>
      <c r="Q15" s="54"/>
      <c r="R15" s="54"/>
      <c r="S15" s="54"/>
      <c r="T15" s="54"/>
      <c r="U15" s="54"/>
      <c r="V15" s="54"/>
      <c r="W15" s="54"/>
      <c r="X15" s="54"/>
      <c r="Y15" s="54"/>
      <c r="Z15" s="55"/>
    </row>
    <row r="16" ht="21.75" hidden="1" customHeight="1">
      <c r="A16" s="32" t="s">
        <v>34</v>
      </c>
      <c r="B16" s="37">
        <f>IFERROR(IF(B27="Limit",MAX(1,ROUND(B14*B33/B30,0)),3),0)</f>
        <v>0</v>
      </c>
      <c r="C16" s="56" t="s">
        <v>35</v>
      </c>
      <c r="D16" s="35"/>
      <c r="E16" s="35"/>
      <c r="F16" s="35"/>
      <c r="G16" s="35"/>
      <c r="H16" s="35"/>
      <c r="I16" s="35"/>
      <c r="J16" s="35"/>
      <c r="K16" s="35"/>
      <c r="L16" s="35"/>
      <c r="M16" s="35"/>
      <c r="N16" s="35"/>
      <c r="O16" s="35"/>
      <c r="P16" s="35"/>
      <c r="Q16" s="35"/>
      <c r="R16" s="35"/>
      <c r="S16" s="35"/>
      <c r="T16" s="35"/>
      <c r="U16" s="35"/>
      <c r="V16" s="35"/>
      <c r="W16" s="35"/>
      <c r="X16" s="35"/>
      <c r="Y16" s="35"/>
      <c r="Z16" s="36"/>
    </row>
    <row r="17" ht="21.75" hidden="1" customHeight="1">
      <c r="A17" s="57" t="s">
        <v>36</v>
      </c>
      <c r="B17" s="58">
        <f>IFERROR(IF(B27="Limit",MAX(1,ROUND(B15*B33/B30,0)),3),0)</f>
        <v>0</v>
      </c>
      <c r="C17" s="59" t="s">
        <v>37</v>
      </c>
      <c r="D17" s="60"/>
      <c r="E17" s="60"/>
      <c r="F17" s="60"/>
      <c r="G17" s="60"/>
      <c r="H17" s="60"/>
      <c r="I17" s="60"/>
      <c r="J17" s="60"/>
      <c r="K17" s="60"/>
      <c r="L17" s="60"/>
      <c r="M17" s="60"/>
      <c r="N17" s="60"/>
      <c r="O17" s="60"/>
      <c r="P17" s="60"/>
      <c r="Q17" s="60"/>
      <c r="R17" s="60"/>
      <c r="S17" s="60"/>
      <c r="T17" s="60"/>
      <c r="U17" s="60"/>
      <c r="V17" s="60"/>
      <c r="W17" s="60"/>
      <c r="X17" s="60"/>
      <c r="Y17" s="60"/>
      <c r="Z17" s="61"/>
    </row>
    <row r="18" ht="21.75" hidden="1" customHeight="1">
      <c r="A18" s="62" t="s">
        <v>38</v>
      </c>
      <c r="B18" s="63">
        <f>B4*B5</f>
        <v>12000</v>
      </c>
      <c r="C18" s="46" t="s">
        <v>39</v>
      </c>
      <c r="D18" s="11"/>
      <c r="E18" s="11"/>
      <c r="F18" s="11"/>
      <c r="G18" s="11"/>
      <c r="H18" s="11"/>
      <c r="I18" s="11"/>
      <c r="J18" s="11"/>
      <c r="K18" s="11"/>
      <c r="L18" s="11"/>
      <c r="M18" s="11"/>
      <c r="N18" s="11"/>
      <c r="O18" s="11"/>
      <c r="P18" s="11"/>
      <c r="Q18" s="11"/>
      <c r="R18" s="11"/>
      <c r="S18" s="11"/>
      <c r="T18" s="11"/>
      <c r="U18" s="11"/>
      <c r="V18" s="11"/>
      <c r="W18" s="11"/>
      <c r="X18" s="11"/>
      <c r="Y18" s="11"/>
      <c r="Z18" s="12"/>
    </row>
    <row r="19" ht="33.0" customHeight="1">
      <c r="A19" s="64" t="s">
        <v>40</v>
      </c>
      <c r="B19" s="65"/>
      <c r="C19" s="65"/>
      <c r="D19" s="11"/>
      <c r="E19" s="11"/>
      <c r="F19" s="11"/>
      <c r="G19" s="11"/>
      <c r="H19" s="11"/>
      <c r="I19" s="11"/>
      <c r="J19" s="11"/>
      <c r="K19" s="11"/>
      <c r="L19" s="11"/>
      <c r="M19" s="11"/>
      <c r="N19" s="11"/>
      <c r="O19" s="11"/>
      <c r="P19" s="11"/>
      <c r="Q19" s="11"/>
      <c r="R19" s="11"/>
      <c r="S19" s="11"/>
      <c r="T19" s="11"/>
      <c r="U19" s="11"/>
      <c r="V19" s="11"/>
      <c r="W19" s="11"/>
      <c r="X19" s="11"/>
      <c r="Y19" s="11"/>
      <c r="Z19" s="12"/>
    </row>
    <row r="20" ht="35.25" customHeight="1">
      <c r="A20" s="66" t="s">
        <v>41</v>
      </c>
      <c r="B20" s="67"/>
      <c r="C20" s="34" t="s">
        <v>42</v>
      </c>
      <c r="D20" s="35"/>
      <c r="E20" s="35"/>
      <c r="F20" s="35"/>
      <c r="G20" s="35"/>
      <c r="H20" s="35"/>
      <c r="I20" s="35"/>
      <c r="J20" s="35"/>
      <c r="K20" s="35"/>
      <c r="L20" s="35"/>
      <c r="M20" s="35"/>
      <c r="N20" s="35"/>
      <c r="O20" s="35"/>
      <c r="P20" s="35"/>
      <c r="Q20" s="35"/>
      <c r="R20" s="35"/>
      <c r="S20" s="35"/>
      <c r="T20" s="35"/>
      <c r="U20" s="35"/>
      <c r="V20" s="35"/>
      <c r="W20" s="35"/>
      <c r="X20" s="35"/>
      <c r="Y20" s="35"/>
      <c r="Z20" s="36"/>
    </row>
    <row r="21" ht="46.5" customHeight="1">
      <c r="A21" s="66" t="s">
        <v>43</v>
      </c>
      <c r="B21" s="67" t="s">
        <v>44</v>
      </c>
      <c r="C21" s="34" t="s">
        <v>45</v>
      </c>
      <c r="D21" s="35"/>
      <c r="E21" s="35"/>
      <c r="F21" s="35"/>
      <c r="G21" s="35"/>
      <c r="H21" s="35"/>
      <c r="I21" s="35"/>
      <c r="J21" s="35"/>
      <c r="K21" s="35"/>
      <c r="L21" s="35"/>
      <c r="M21" s="35"/>
      <c r="N21" s="35"/>
      <c r="O21" s="35"/>
      <c r="P21" s="35"/>
      <c r="Q21" s="35"/>
      <c r="R21" s="35"/>
      <c r="S21" s="35"/>
      <c r="T21" s="35"/>
      <c r="U21" s="35"/>
      <c r="V21" s="35"/>
      <c r="W21" s="35"/>
      <c r="X21" s="35"/>
      <c r="Y21" s="35"/>
      <c r="Z21" s="36"/>
    </row>
    <row r="22" ht="46.5" customHeight="1">
      <c r="A22" s="68" t="s">
        <v>46</v>
      </c>
      <c r="B22" s="69" t="s">
        <v>47</v>
      </c>
      <c r="C22" s="70" t="s">
        <v>48</v>
      </c>
      <c r="D22" s="11"/>
      <c r="E22" s="11"/>
      <c r="F22" s="11"/>
      <c r="G22" s="11"/>
      <c r="H22" s="11"/>
      <c r="I22" s="11"/>
      <c r="J22" s="11"/>
      <c r="K22" s="11"/>
      <c r="L22" s="11"/>
      <c r="M22" s="11"/>
      <c r="N22" s="11"/>
      <c r="O22" s="11"/>
      <c r="P22" s="11"/>
      <c r="Q22" s="11"/>
      <c r="R22" s="11"/>
      <c r="S22" s="11"/>
      <c r="T22" s="11"/>
      <c r="U22" s="11"/>
      <c r="V22" s="11"/>
      <c r="W22" s="11"/>
      <c r="X22" s="11"/>
      <c r="Y22" s="11"/>
      <c r="Z22" s="12"/>
    </row>
    <row r="23" ht="46.5" customHeight="1">
      <c r="A23" s="71" t="str">
        <f>IF(B21="Long", "*  Entry Candle High", "*  Entry Candle Low")</f>
        <v>*  Entry Candle High</v>
      </c>
      <c r="B23" s="72"/>
      <c r="C23" s="73" t="s">
        <v>49</v>
      </c>
      <c r="D23" s="11"/>
      <c r="E23" s="11"/>
      <c r="F23" s="11"/>
      <c r="G23" s="11"/>
      <c r="H23" s="11"/>
      <c r="I23" s="11"/>
      <c r="J23" s="11"/>
      <c r="K23" s="11"/>
      <c r="L23" s="11"/>
      <c r="M23" s="11"/>
      <c r="N23" s="11"/>
      <c r="O23" s="11"/>
      <c r="P23" s="11"/>
      <c r="Q23" s="11"/>
      <c r="R23" s="11"/>
      <c r="S23" s="11"/>
      <c r="T23" s="11"/>
      <c r="U23" s="11"/>
      <c r="V23" s="11"/>
      <c r="W23" s="11"/>
      <c r="X23" s="11"/>
      <c r="Y23" s="11"/>
      <c r="Z23" s="12"/>
    </row>
    <row r="24" ht="36.75" customHeight="1">
      <c r="A24" s="74" t="s">
        <v>50</v>
      </c>
      <c r="B24" s="75"/>
      <c r="C24" s="22" t="s">
        <v>51</v>
      </c>
      <c r="D24" s="11"/>
      <c r="E24" s="11"/>
      <c r="F24" s="11"/>
      <c r="G24" s="11"/>
      <c r="H24" s="11"/>
      <c r="I24" s="11"/>
      <c r="J24" s="11"/>
      <c r="K24" s="11"/>
      <c r="L24" s="11"/>
      <c r="M24" s="11"/>
      <c r="N24" s="11"/>
      <c r="O24" s="11"/>
      <c r="P24" s="11"/>
      <c r="Q24" s="11"/>
      <c r="R24" s="11"/>
      <c r="S24" s="11"/>
      <c r="T24" s="11"/>
      <c r="U24" s="11"/>
      <c r="V24" s="11"/>
      <c r="W24" s="11"/>
      <c r="X24" s="11"/>
      <c r="Y24" s="11"/>
      <c r="Z24" s="12"/>
    </row>
    <row r="25" ht="52.5" customHeight="1">
      <c r="A25" s="74" t="s">
        <v>52</v>
      </c>
      <c r="B25" s="76"/>
      <c r="C25" s="22"/>
      <c r="D25" s="11"/>
      <c r="E25" s="11"/>
      <c r="F25" s="11"/>
      <c r="G25" s="11"/>
      <c r="H25" s="11"/>
      <c r="I25" s="11"/>
      <c r="J25" s="11"/>
      <c r="K25" s="11"/>
      <c r="L25" s="11"/>
      <c r="M25" s="11"/>
      <c r="N25" s="11"/>
      <c r="O25" s="11"/>
      <c r="P25" s="11"/>
      <c r="Q25" s="11"/>
      <c r="R25" s="11"/>
      <c r="S25" s="11"/>
      <c r="T25" s="11"/>
      <c r="U25" s="11"/>
      <c r="V25" s="11"/>
      <c r="W25" s="11"/>
      <c r="X25" s="11"/>
      <c r="Y25" s="11"/>
      <c r="Z25" s="12"/>
    </row>
    <row r="26" ht="52.5" customHeight="1">
      <c r="A26" s="74" t="str">
        <f>IF(B21="Long","* Upper Circuit","* Lower Circuit")</f>
        <v>* Upper Circuit</v>
      </c>
      <c r="B26" s="76"/>
      <c r="C26" s="77" t="s">
        <v>53</v>
      </c>
      <c r="D26" s="11"/>
      <c r="E26" s="11"/>
      <c r="F26" s="11"/>
      <c r="G26" s="11"/>
      <c r="H26" s="11"/>
      <c r="I26" s="11"/>
      <c r="J26" s="11"/>
      <c r="K26" s="11"/>
      <c r="L26" s="11"/>
      <c r="M26" s="11"/>
      <c r="N26" s="11"/>
      <c r="O26" s="11"/>
      <c r="P26" s="11"/>
      <c r="Q26" s="11"/>
      <c r="R26" s="11"/>
      <c r="S26" s="11"/>
      <c r="T26" s="11"/>
      <c r="U26" s="11"/>
      <c r="V26" s="11"/>
      <c r="W26" s="11"/>
      <c r="X26" s="11"/>
      <c r="Y26" s="11"/>
      <c r="Z26" s="12"/>
    </row>
    <row r="27" ht="46.5" customHeight="1">
      <c r="A27" s="74" t="s">
        <v>54</v>
      </c>
      <c r="B27" s="78" t="s">
        <v>55</v>
      </c>
      <c r="C27" s="79" t="s">
        <v>56</v>
      </c>
      <c r="D27" s="11"/>
      <c r="E27" s="11"/>
      <c r="F27" s="11"/>
      <c r="G27" s="11"/>
      <c r="H27" s="11"/>
      <c r="I27" s="11"/>
      <c r="J27" s="11"/>
      <c r="K27" s="11"/>
      <c r="L27" s="11"/>
      <c r="M27" s="11"/>
      <c r="N27" s="11"/>
      <c r="O27" s="11"/>
      <c r="P27" s="11"/>
      <c r="Q27" s="11"/>
      <c r="R27" s="11"/>
      <c r="S27" s="11"/>
      <c r="T27" s="11"/>
      <c r="U27" s="11"/>
      <c r="V27" s="11"/>
      <c r="W27" s="11"/>
      <c r="X27" s="11"/>
      <c r="Y27" s="11"/>
      <c r="Z27" s="12"/>
    </row>
    <row r="28" ht="93.0" customHeight="1">
      <c r="A28" s="74" t="s">
        <v>57</v>
      </c>
      <c r="B28" s="78" t="s">
        <v>58</v>
      </c>
      <c r="C28" s="79" t="s">
        <v>59</v>
      </c>
      <c r="D28" s="11"/>
      <c r="E28" s="11"/>
      <c r="F28" s="11"/>
      <c r="G28" s="11"/>
      <c r="H28" s="11"/>
      <c r="I28" s="11"/>
      <c r="J28" s="11"/>
      <c r="K28" s="11"/>
      <c r="L28" s="11"/>
      <c r="M28" s="11"/>
      <c r="N28" s="11"/>
      <c r="O28" s="11"/>
      <c r="P28" s="11"/>
      <c r="Q28" s="11"/>
      <c r="R28" s="11"/>
      <c r="S28" s="11"/>
      <c r="T28" s="11"/>
      <c r="U28" s="11"/>
      <c r="V28" s="11"/>
      <c r="W28" s="11"/>
      <c r="X28" s="11"/>
      <c r="Y28" s="11"/>
      <c r="Z28" s="12"/>
    </row>
    <row r="29" ht="46.5" hidden="1" customHeight="1">
      <c r="A29" s="80" t="s">
        <v>60</v>
      </c>
      <c r="B29" s="81">
        <f>IF(AND(B24&gt;0, B25&gt;0), B25/B24,0)</f>
        <v>0</v>
      </c>
      <c r="C29" s="22"/>
      <c r="D29" s="11"/>
      <c r="E29" s="11"/>
      <c r="F29" s="11"/>
      <c r="G29" s="11"/>
      <c r="H29" s="11"/>
      <c r="I29" s="11"/>
      <c r="J29" s="11"/>
      <c r="K29" s="11"/>
      <c r="L29" s="11"/>
      <c r="M29" s="11"/>
      <c r="N29" s="11"/>
      <c r="O29" s="11"/>
      <c r="P29" s="11"/>
      <c r="Q29" s="11"/>
      <c r="R29" s="11"/>
      <c r="S29" s="11"/>
      <c r="T29" s="11"/>
      <c r="U29" s="11"/>
      <c r="V29" s="11"/>
      <c r="W29" s="11"/>
      <c r="X29" s="11"/>
      <c r="Y29" s="11"/>
      <c r="Z29" s="12"/>
    </row>
    <row r="30" ht="46.5" hidden="1" customHeight="1">
      <c r="A30" s="80" t="s">
        <v>61</v>
      </c>
      <c r="B30" s="82">
        <f>IF(B23&lt;1,0,
 IF(B23&lt;250,0.01,
 IF(B23&lt;=1000,0.05,
 IF(B23&lt;=5000,0.1,
 IF(B23&lt;=10000,0.5,
 IF(B23&lt;=20000,1,5))))))</f>
        <v>0</v>
      </c>
      <c r="C30" s="27" t="s">
        <v>62</v>
      </c>
      <c r="D30" s="11"/>
      <c r="E30" s="11"/>
      <c r="F30" s="11"/>
      <c r="G30" s="11"/>
      <c r="H30" s="11"/>
      <c r="I30" s="11"/>
      <c r="J30" s="11"/>
      <c r="K30" s="11"/>
      <c r="L30" s="11"/>
      <c r="M30" s="11"/>
      <c r="N30" s="11"/>
      <c r="O30" s="11"/>
      <c r="P30" s="11"/>
      <c r="Q30" s="11"/>
      <c r="R30" s="11"/>
      <c r="S30" s="11"/>
      <c r="T30" s="11"/>
      <c r="U30" s="11"/>
      <c r="V30" s="11"/>
      <c r="W30" s="11"/>
      <c r="X30" s="11"/>
      <c r="Y30" s="11"/>
      <c r="Z30" s="12"/>
    </row>
    <row r="31" ht="46.5" hidden="1" customHeight="1">
      <c r="A31" s="80" t="s">
        <v>63</v>
      </c>
      <c r="B31" s="83">
        <f>IF(ISNUMBER(B23),B23,0)</f>
        <v>0</v>
      </c>
      <c r="C31" s="22"/>
      <c r="D31" s="11"/>
      <c r="E31" s="11"/>
      <c r="F31" s="11"/>
      <c r="G31" s="11"/>
      <c r="H31" s="11"/>
      <c r="I31" s="11"/>
      <c r="J31" s="11"/>
      <c r="K31" s="11"/>
      <c r="L31" s="11"/>
      <c r="M31" s="11"/>
      <c r="N31" s="11"/>
      <c r="O31" s="11"/>
      <c r="P31" s="11"/>
      <c r="Q31" s="11"/>
      <c r="R31" s="11"/>
      <c r="S31" s="11"/>
      <c r="T31" s="11"/>
      <c r="U31" s="11"/>
      <c r="V31" s="11"/>
      <c r="W31" s="11"/>
      <c r="X31" s="11"/>
      <c r="Y31" s="11"/>
      <c r="Z31" s="12"/>
    </row>
    <row r="32" ht="21.75" hidden="1" customHeight="1">
      <c r="A32" s="7" t="s">
        <v>64</v>
      </c>
      <c r="B32" s="9"/>
      <c r="C32" s="9"/>
      <c r="D32" s="11"/>
      <c r="E32" s="11"/>
      <c r="F32" s="11"/>
      <c r="G32" s="11"/>
      <c r="H32" s="11"/>
      <c r="I32" s="11"/>
      <c r="J32" s="11"/>
      <c r="K32" s="11"/>
      <c r="L32" s="11"/>
      <c r="M32" s="11"/>
      <c r="N32" s="11"/>
      <c r="O32" s="11"/>
      <c r="P32" s="11"/>
      <c r="Q32" s="11"/>
      <c r="R32" s="11"/>
      <c r="S32" s="11"/>
      <c r="T32" s="11"/>
      <c r="U32" s="11"/>
      <c r="V32" s="11"/>
      <c r="W32" s="11"/>
      <c r="X32" s="11"/>
      <c r="Y32" s="11"/>
      <c r="Z32" s="12"/>
    </row>
    <row r="33" ht="21.75" hidden="1" customHeight="1">
      <c r="A33" s="23" t="s">
        <v>65</v>
      </c>
      <c r="B33" s="84">
        <f>IF(B30&gt;0,CEILING(B24*B7,B30),0)</f>
        <v>0</v>
      </c>
      <c r="C33" s="22" t="s">
        <v>66</v>
      </c>
      <c r="D33" s="11"/>
      <c r="E33" s="11"/>
      <c r="F33" s="11"/>
      <c r="G33" s="11"/>
      <c r="H33" s="11"/>
      <c r="I33" s="11"/>
      <c r="J33" s="11"/>
      <c r="K33" s="11"/>
      <c r="L33" s="11"/>
      <c r="M33" s="11"/>
      <c r="N33" s="11"/>
      <c r="O33" s="11"/>
      <c r="P33" s="11"/>
      <c r="Q33" s="11"/>
      <c r="R33" s="11"/>
      <c r="S33" s="11"/>
      <c r="T33" s="11"/>
      <c r="U33" s="11"/>
      <c r="V33" s="11"/>
      <c r="W33" s="11"/>
      <c r="X33" s="11"/>
      <c r="Y33" s="11"/>
      <c r="Z33" s="12"/>
    </row>
    <row r="34" ht="33.0" hidden="1" customHeight="1">
      <c r="A34" s="23" t="s">
        <v>67</v>
      </c>
      <c r="B34" s="84">
        <f>B4*B5</f>
        <v>12000</v>
      </c>
      <c r="C34" s="22" t="s">
        <v>68</v>
      </c>
      <c r="D34" s="11"/>
      <c r="E34" s="11"/>
      <c r="F34" s="11"/>
      <c r="G34" s="11"/>
      <c r="H34" s="11"/>
      <c r="I34" s="11"/>
      <c r="J34" s="11"/>
      <c r="K34" s="11"/>
      <c r="L34" s="11"/>
      <c r="M34" s="11"/>
      <c r="N34" s="11"/>
      <c r="O34" s="11"/>
      <c r="P34" s="11"/>
      <c r="Q34" s="11"/>
      <c r="R34" s="11"/>
      <c r="S34" s="11"/>
      <c r="T34" s="11"/>
      <c r="U34" s="11"/>
      <c r="V34" s="11"/>
      <c r="W34" s="11"/>
      <c r="X34" s="11"/>
      <c r="Y34" s="11"/>
      <c r="Z34" s="12"/>
    </row>
    <row r="35" ht="21.75" hidden="1" customHeight="1">
      <c r="A35" s="23" t="s">
        <v>69</v>
      </c>
      <c r="B35" s="84">
        <f>B4*B6</f>
        <v>1900000</v>
      </c>
      <c r="C35" s="22" t="s">
        <v>70</v>
      </c>
      <c r="D35" s="11"/>
      <c r="E35" s="11"/>
      <c r="F35" s="11"/>
      <c r="G35" s="11"/>
      <c r="H35" s="11"/>
      <c r="I35" s="11"/>
      <c r="J35" s="11"/>
      <c r="K35" s="11"/>
      <c r="L35" s="11"/>
      <c r="M35" s="11"/>
      <c r="N35" s="11"/>
      <c r="O35" s="11"/>
      <c r="P35" s="11"/>
      <c r="Q35" s="11"/>
      <c r="R35" s="11"/>
      <c r="S35" s="11"/>
      <c r="T35" s="11"/>
      <c r="U35" s="11"/>
      <c r="V35" s="11"/>
      <c r="W35" s="11"/>
      <c r="X35" s="11"/>
      <c r="Y35" s="11"/>
      <c r="Z35" s="12"/>
    </row>
    <row r="36" ht="21.75" hidden="1" customHeight="1">
      <c r="A36" s="23" t="s">
        <v>71</v>
      </c>
      <c r="B36" s="85">
        <f>IF(B33&gt;0,B34/(B33),0)</f>
        <v>0</v>
      </c>
      <c r="C36" s="22" t="s">
        <v>72</v>
      </c>
      <c r="D36" s="11"/>
      <c r="E36" s="11"/>
      <c r="F36" s="11"/>
      <c r="G36" s="11"/>
      <c r="H36" s="11"/>
      <c r="I36" s="11"/>
      <c r="J36" s="11"/>
      <c r="K36" s="11"/>
      <c r="L36" s="11"/>
      <c r="M36" s="11"/>
      <c r="N36" s="11"/>
      <c r="O36" s="11"/>
      <c r="P36" s="11"/>
      <c r="Q36" s="11"/>
      <c r="R36" s="11"/>
      <c r="S36" s="11"/>
      <c r="T36" s="11"/>
      <c r="U36" s="11"/>
      <c r="V36" s="11"/>
      <c r="W36" s="11"/>
      <c r="X36" s="11"/>
      <c r="Y36" s="11"/>
      <c r="Z36" s="12"/>
    </row>
    <row r="37" ht="21.75" hidden="1" customHeight="1">
      <c r="A37" s="23" t="s">
        <v>73</v>
      </c>
      <c r="B37" s="85">
        <f>IF(B31&gt;0, B35/B31, 0)</f>
        <v>0</v>
      </c>
      <c r="C37" s="22" t="s">
        <v>74</v>
      </c>
      <c r="D37" s="11"/>
      <c r="E37" s="11"/>
      <c r="F37" s="11"/>
      <c r="G37" s="11"/>
      <c r="H37" s="11"/>
      <c r="I37" s="11"/>
      <c r="J37" s="11"/>
      <c r="K37" s="11"/>
      <c r="L37" s="11"/>
      <c r="M37" s="11"/>
      <c r="N37" s="11"/>
      <c r="O37" s="11"/>
      <c r="P37" s="11"/>
      <c r="Q37" s="11"/>
      <c r="R37" s="11"/>
      <c r="S37" s="11"/>
      <c r="T37" s="11"/>
      <c r="U37" s="11"/>
      <c r="V37" s="11"/>
      <c r="W37" s="11"/>
      <c r="X37" s="11"/>
      <c r="Y37" s="11"/>
      <c r="Z37" s="12"/>
    </row>
    <row r="38" ht="21.75" hidden="1" customHeight="1">
      <c r="A38" s="29" t="s">
        <v>75</v>
      </c>
      <c r="B38" s="86">
        <f>MIN(B36,B37)</f>
        <v>0</v>
      </c>
      <c r="C38" s="31" t="s">
        <v>76</v>
      </c>
      <c r="D38" s="11"/>
      <c r="E38" s="11"/>
      <c r="F38" s="11"/>
      <c r="G38" s="11"/>
      <c r="H38" s="11"/>
      <c r="I38" s="11"/>
      <c r="J38" s="11"/>
      <c r="K38" s="11"/>
      <c r="L38" s="11"/>
      <c r="M38" s="11"/>
      <c r="N38" s="11"/>
      <c r="O38" s="11"/>
      <c r="P38" s="11"/>
      <c r="Q38" s="11"/>
      <c r="R38" s="11"/>
      <c r="S38" s="11"/>
      <c r="T38" s="11"/>
      <c r="U38" s="11"/>
      <c r="V38" s="11"/>
      <c r="W38" s="11"/>
      <c r="X38" s="11"/>
      <c r="Y38" s="11"/>
      <c r="Z38" s="12"/>
    </row>
    <row r="39" ht="21.75" hidden="1" customHeight="1">
      <c r="A39" s="87" t="s">
        <v>77</v>
      </c>
      <c r="B39" s="88" t="b">
        <f>B29&gt;B10</f>
        <v>0</v>
      </c>
      <c r="C39" s="77"/>
      <c r="D39" s="11"/>
      <c r="E39" s="11"/>
      <c r="F39" s="11"/>
      <c r="G39" s="11"/>
      <c r="H39" s="11"/>
      <c r="I39" s="11"/>
      <c r="J39" s="11"/>
      <c r="K39" s="11"/>
      <c r="L39" s="11"/>
      <c r="M39" s="11"/>
      <c r="N39" s="11"/>
      <c r="O39" s="11"/>
      <c r="P39" s="11"/>
      <c r="Q39" s="11"/>
      <c r="R39" s="11"/>
      <c r="S39" s="11"/>
      <c r="T39" s="11"/>
      <c r="U39" s="11"/>
      <c r="V39" s="11"/>
      <c r="W39" s="11"/>
      <c r="X39" s="11"/>
      <c r="Y39" s="11"/>
      <c r="Z39" s="12"/>
    </row>
    <row r="40" ht="21.75" hidden="1" customHeight="1">
      <c r="A40" s="87" t="s">
        <v>78</v>
      </c>
      <c r="B40" s="88" t="b">
        <f>IF(B26&lt;1,FALSE,IF(B21="Long",(B26-B52)/B26&lt;=B13,(B52-B26)/B26&lt;=B13))</f>
        <v>0</v>
      </c>
      <c r="C40" s="77"/>
      <c r="D40" s="11"/>
      <c r="E40" s="11"/>
      <c r="F40" s="11"/>
      <c r="G40" s="11"/>
      <c r="H40" s="11"/>
      <c r="I40" s="11"/>
      <c r="J40" s="11"/>
      <c r="K40" s="11"/>
      <c r="L40" s="11"/>
      <c r="M40" s="11"/>
      <c r="N40" s="11"/>
      <c r="O40" s="11"/>
      <c r="P40" s="11"/>
      <c r="Q40" s="11"/>
      <c r="R40" s="11"/>
      <c r="S40" s="11"/>
      <c r="T40" s="11"/>
      <c r="U40" s="11"/>
      <c r="V40" s="11"/>
      <c r="W40" s="11"/>
      <c r="X40" s="11"/>
      <c r="Y40" s="11"/>
      <c r="Z40" s="12"/>
    </row>
    <row r="41" ht="21.75" hidden="1" customHeight="1">
      <c r="A41" s="87" t="s">
        <v>79</v>
      </c>
      <c r="B41" s="88" t="b">
        <f>IF(B26&lt;1,FALSE,IF(B21="Long",(B26-B53)/B26&lt;=B13,(B53-B26)/B26&lt;=B13))</f>
        <v>0</v>
      </c>
      <c r="C41" s="77"/>
      <c r="D41" s="11"/>
      <c r="E41" s="11"/>
      <c r="F41" s="11"/>
      <c r="G41" s="11"/>
      <c r="H41" s="11"/>
      <c r="I41" s="11"/>
      <c r="J41" s="11"/>
      <c r="K41" s="11"/>
      <c r="L41" s="11"/>
      <c r="M41" s="11"/>
      <c r="N41" s="11"/>
      <c r="O41" s="11"/>
      <c r="P41" s="11"/>
      <c r="Q41" s="11"/>
      <c r="R41" s="11"/>
      <c r="S41" s="11"/>
      <c r="T41" s="11"/>
      <c r="U41" s="11"/>
      <c r="V41" s="11"/>
      <c r="W41" s="11"/>
      <c r="X41" s="11"/>
      <c r="Y41" s="11"/>
      <c r="Z41" s="12"/>
    </row>
    <row r="42" ht="63.0" customHeight="1">
      <c r="A42" s="89" t="str">
        <f>IFERROR(
   IF(B39,
      "☠️ Spread Too High — High Slippage Risk - DO NOT TRADE",
      IF(B40,
         "☠️ T1 near circuit limit — False Breakout / Reversal Risk - DO NOT TRADE",
         IF(B41,
            "☠️ T2 near circuit limit — Exit 100% at T1",
            ""
         )
      )
   ),
   ""
)
</f>
        <v/>
      </c>
      <c r="D42" s="11"/>
      <c r="E42" s="11"/>
      <c r="F42" s="11"/>
      <c r="G42" s="90"/>
      <c r="H42" s="11"/>
      <c r="I42" s="11"/>
      <c r="J42" s="11"/>
      <c r="K42" s="11"/>
      <c r="L42" s="11"/>
      <c r="M42" s="11"/>
      <c r="N42" s="11"/>
      <c r="O42" s="11"/>
      <c r="P42" s="11"/>
      <c r="Q42" s="11"/>
      <c r="R42" s="11"/>
      <c r="S42" s="11"/>
      <c r="T42" s="11"/>
      <c r="U42" s="11"/>
      <c r="V42" s="11"/>
      <c r="W42" s="11"/>
      <c r="X42" s="11"/>
      <c r="Y42" s="11"/>
      <c r="Z42" s="12"/>
    </row>
    <row r="43" ht="40.5" customHeight="1">
      <c r="A43" s="91" t="s">
        <v>80</v>
      </c>
      <c r="B43" s="92"/>
      <c r="C43" s="93"/>
      <c r="D43" s="11"/>
      <c r="E43" s="11"/>
      <c r="F43" s="11"/>
      <c r="G43" s="11"/>
      <c r="H43" s="11"/>
      <c r="I43" s="11"/>
      <c r="J43" s="11"/>
      <c r="K43" s="11"/>
      <c r="L43" s="11"/>
      <c r="M43" s="11"/>
      <c r="N43" s="11"/>
      <c r="O43" s="11"/>
      <c r="P43" s="11"/>
      <c r="Q43" s="11"/>
      <c r="R43" s="11"/>
      <c r="S43" s="11"/>
      <c r="T43" s="11"/>
      <c r="U43" s="11"/>
      <c r="V43" s="11"/>
      <c r="W43" s="11"/>
      <c r="X43" s="11"/>
      <c r="Y43" s="11"/>
      <c r="Z43" s="12"/>
    </row>
    <row r="44" ht="30.75" customHeight="1">
      <c r="A44" s="94" t="s">
        <v>0</v>
      </c>
      <c r="B44" s="95" t="str">
        <f>B20</f>
        <v/>
      </c>
      <c r="C44" s="96"/>
      <c r="D44" s="11"/>
      <c r="E44" s="11"/>
      <c r="F44" s="11"/>
      <c r="G44" s="11"/>
      <c r="H44" s="11"/>
      <c r="I44" s="11"/>
      <c r="J44" s="11"/>
      <c r="K44" s="11"/>
      <c r="L44" s="11"/>
      <c r="M44" s="11"/>
      <c r="N44" s="11"/>
      <c r="O44" s="11"/>
      <c r="P44" s="11"/>
      <c r="Q44" s="11"/>
      <c r="R44" s="11"/>
      <c r="S44" s="11"/>
      <c r="T44" s="11"/>
      <c r="U44" s="11"/>
      <c r="V44" s="11"/>
      <c r="W44" s="11"/>
      <c r="X44" s="11"/>
      <c r="Y44" s="11"/>
      <c r="Z44" s="12"/>
    </row>
    <row r="45" ht="35.25" customHeight="1">
      <c r="A45" s="97" t="s">
        <v>81</v>
      </c>
      <c r="B45" s="98">
        <f>IFERROR(IF(OR(B39,B40),0,IF(B38&gt;=5,FLOOR(B38/5,1)*5,FLOOR(B38,1))),0)</f>
        <v>0</v>
      </c>
      <c r="C45" s="99" t="s">
        <v>82</v>
      </c>
      <c r="D45" s="11"/>
      <c r="E45" s="11"/>
      <c r="F45" s="11"/>
      <c r="G45" s="11"/>
      <c r="H45" s="11"/>
      <c r="I45" s="11"/>
      <c r="J45" s="11"/>
      <c r="K45" s="11"/>
      <c r="L45" s="11"/>
      <c r="M45" s="11"/>
      <c r="N45" s="11"/>
      <c r="O45" s="11"/>
      <c r="P45" s="11"/>
      <c r="Q45" s="11"/>
      <c r="R45" s="11"/>
      <c r="S45" s="11"/>
      <c r="T45" s="11"/>
      <c r="U45" s="11"/>
      <c r="V45" s="11"/>
      <c r="W45" s="11"/>
      <c r="X45" s="11"/>
      <c r="Y45" s="11"/>
      <c r="Z45" s="12"/>
    </row>
    <row r="46" ht="41.25" customHeight="1">
      <c r="A46" s="97" t="s">
        <v>83</v>
      </c>
      <c r="B46" s="100">
        <f>IFERROR(IFS(
    B27="Limit", B31+B30*2,
    B21="Long", B31+B16*B30,
    B21="Short", B31-B16*B30
),"")</f>
        <v>0</v>
      </c>
      <c r="C46" s="101" t="s">
        <v>84</v>
      </c>
      <c r="D46" s="11"/>
      <c r="E46" s="11"/>
      <c r="F46" s="11"/>
      <c r="G46" s="11"/>
      <c r="H46" s="11"/>
      <c r="I46" s="11"/>
      <c r="J46" s="11"/>
      <c r="K46" s="11"/>
      <c r="L46" s="11"/>
      <c r="M46" s="11"/>
      <c r="N46" s="11"/>
      <c r="O46" s="11"/>
      <c r="P46" s="11"/>
      <c r="Q46" s="11"/>
      <c r="R46" s="11"/>
      <c r="S46" s="11"/>
      <c r="T46" s="11"/>
      <c r="U46" s="11"/>
      <c r="V46" s="11"/>
      <c r="W46" s="11"/>
      <c r="X46" s="11"/>
      <c r="Y46" s="11"/>
      <c r="Z46" s="12"/>
    </row>
    <row r="47" ht="43.5" customHeight="1">
      <c r="A47" s="97" t="str">
        <f>IF(B27="Limit","Entry Price","")</f>
        <v>Entry Price</v>
      </c>
      <c r="B47" s="100">
        <f>IFERROR(IF(B27="Limit",
    IF(B21="Long",CEILING(B46+B30*B16,B30),FLOOR(B46-B30*B16,B30)),
    ""), "")</f>
        <v>0</v>
      </c>
      <c r="C47" s="101" t="s">
        <v>85</v>
      </c>
      <c r="D47" s="11"/>
      <c r="E47" s="11"/>
      <c r="F47" s="11"/>
      <c r="G47" s="11"/>
      <c r="H47" s="11"/>
      <c r="I47" s="11"/>
      <c r="J47" s="11"/>
      <c r="K47" s="11"/>
      <c r="L47" s="11"/>
      <c r="M47" s="11"/>
      <c r="N47" s="11"/>
      <c r="O47" s="11"/>
      <c r="P47" s="11"/>
      <c r="Q47" s="11"/>
      <c r="R47" s="11"/>
      <c r="S47" s="11"/>
      <c r="T47" s="11"/>
      <c r="U47" s="11"/>
      <c r="V47" s="11"/>
      <c r="W47" s="11"/>
      <c r="X47" s="11"/>
      <c r="Y47" s="11"/>
      <c r="Z47" s="12"/>
    </row>
    <row r="48" ht="43.5" customHeight="1">
      <c r="A48" s="97" t="s">
        <v>86</v>
      </c>
      <c r="B48" s="100">
        <f>LET(
  entryPrice, IF(B27="Limit", B47, B46),
  IF(
    ISNUMBER(entryPrice),
    IF(B21="Long",
      FLOOR(entryPrice-B12*B33,B30),
      CEILING(entryPrice+B12*B33,B30)
    ),
    "⚠️ N/A"
  )
)</f>
        <v>0</v>
      </c>
      <c r="C48" s="101" t="s">
        <v>87</v>
      </c>
      <c r="D48" s="11"/>
      <c r="E48" s="11"/>
      <c r="F48" s="11"/>
      <c r="G48" s="11"/>
      <c r="H48" s="11"/>
      <c r="I48" s="11"/>
      <c r="J48" s="11"/>
      <c r="K48" s="11"/>
      <c r="L48" s="11"/>
      <c r="M48" s="11"/>
      <c r="N48" s="11"/>
      <c r="O48" s="11"/>
      <c r="P48" s="11"/>
      <c r="Q48" s="11"/>
      <c r="R48" s="11"/>
      <c r="S48" s="11"/>
      <c r="T48" s="11"/>
      <c r="U48" s="11"/>
      <c r="V48" s="11"/>
      <c r="W48" s="11"/>
      <c r="X48" s="11"/>
      <c r="Y48" s="11"/>
      <c r="Z48" s="12"/>
    </row>
    <row r="49" ht="43.5" customHeight="1">
      <c r="A49" s="102" t="str">
        <f>IF(B27="Limit","Emergency Exit Price","")</f>
        <v>Emergency Exit Price</v>
      </c>
      <c r="B49" s="103">
        <f>IFERROR(IF(B27="Limit",
    IF(B21="Long",FLOOR(B48-B17*B30,B30),CEILING(B48+B17*B30,B30)),
    ""), "")</f>
        <v>0</v>
      </c>
      <c r="C49" s="101" t="s">
        <v>88</v>
      </c>
      <c r="D49" s="49"/>
      <c r="E49" s="49"/>
      <c r="F49" s="49"/>
      <c r="G49" s="49"/>
      <c r="H49" s="49"/>
      <c r="I49" s="49"/>
      <c r="J49" s="49"/>
      <c r="K49" s="49"/>
      <c r="L49" s="49"/>
      <c r="M49" s="49"/>
      <c r="N49" s="49"/>
      <c r="O49" s="49"/>
      <c r="P49" s="49"/>
      <c r="Q49" s="49"/>
      <c r="R49" s="49"/>
      <c r="S49" s="49"/>
      <c r="T49" s="49"/>
      <c r="U49" s="49"/>
      <c r="V49" s="49"/>
      <c r="W49" s="49"/>
      <c r="X49" s="49"/>
      <c r="Y49" s="49"/>
      <c r="Z49" s="50"/>
    </row>
    <row r="50" ht="43.5" customHeight="1">
      <c r="A50" s="97" t="s">
        <v>6</v>
      </c>
      <c r="B50" s="100">
        <f>LET(
  entryPrice, IF(B27="Limit", B47, B46),
  IF(
    B21="Long",
    FLOOR(entryPrice-B33,B30),
    CEILING(entryPrice+B33,B30)
  )
)</f>
        <v>0</v>
      </c>
      <c r="C50" s="101" t="s">
        <v>89</v>
      </c>
      <c r="D50" s="11"/>
      <c r="E50" s="11"/>
      <c r="F50" s="11"/>
      <c r="G50" s="11"/>
      <c r="H50" s="11"/>
      <c r="I50" s="11"/>
      <c r="J50" s="11"/>
      <c r="K50" s="11"/>
      <c r="L50" s="11"/>
      <c r="M50" s="11"/>
      <c r="N50" s="11"/>
      <c r="O50" s="11"/>
      <c r="P50" s="11"/>
      <c r="Q50" s="11"/>
      <c r="R50" s="11"/>
      <c r="S50" s="11"/>
      <c r="T50" s="11"/>
      <c r="U50" s="11"/>
      <c r="V50" s="11"/>
      <c r="W50" s="11"/>
      <c r="X50" s="11"/>
      <c r="Y50" s="11"/>
      <c r="Z50" s="12"/>
    </row>
    <row r="51" ht="43.5" customHeight="1">
      <c r="A51" s="102" t="str">
        <f>IF(B27="Limit","Exit Price","")</f>
        <v>Exit Price</v>
      </c>
      <c r="B51" s="104">
        <f>IFERROR(IF(B27="Limit",
    IF(B21="Long",FLOOR(B50-B17*B30,B30),CEILING(B50+B17*B30,B30)),
    ""), "")</f>
        <v>0</v>
      </c>
      <c r="C51" s="101" t="s">
        <v>90</v>
      </c>
      <c r="D51" s="49"/>
      <c r="E51" s="49"/>
      <c r="F51" s="49"/>
      <c r="G51" s="49"/>
      <c r="H51" s="49"/>
      <c r="I51" s="49"/>
      <c r="J51" s="49"/>
      <c r="K51" s="49"/>
      <c r="L51" s="49"/>
      <c r="M51" s="49"/>
      <c r="N51" s="49"/>
      <c r="O51" s="49"/>
      <c r="P51" s="49"/>
      <c r="Q51" s="49"/>
      <c r="R51" s="49"/>
      <c r="S51" s="49"/>
      <c r="T51" s="49"/>
      <c r="U51" s="49"/>
      <c r="V51" s="49"/>
      <c r="W51" s="49"/>
      <c r="X51" s="49"/>
      <c r="Y51" s="49"/>
      <c r="Z51" s="50"/>
    </row>
    <row r="52" ht="43.5" customHeight="1">
      <c r="A52" s="97" t="s">
        <v>91</v>
      </c>
      <c r="B52" s="100">
        <f>LET(
  entryPrice, IF(B27="Limit", B47, B46), 
    IF(
      B21="Long",
      CEILING(entryPrice+B8*B33,B30*B16),
      FLOOR(entryPrice-B8*B33,B30*B16)
    )
  )
</f>
        <v>0</v>
      </c>
      <c r="C52" s="99" t="s">
        <v>92</v>
      </c>
      <c r="D52" s="11"/>
      <c r="E52" s="11"/>
      <c r="F52" s="11"/>
      <c r="G52" s="11"/>
      <c r="H52" s="11"/>
      <c r="I52" s="11"/>
      <c r="J52" s="11"/>
      <c r="K52" s="11"/>
      <c r="L52" s="11"/>
      <c r="M52" s="11"/>
      <c r="N52" s="11"/>
      <c r="O52" s="11"/>
      <c r="P52" s="11"/>
      <c r="Q52" s="11"/>
      <c r="R52" s="11"/>
      <c r="S52" s="11"/>
      <c r="T52" s="11"/>
      <c r="U52" s="11"/>
      <c r="V52" s="11"/>
      <c r="W52" s="11"/>
      <c r="X52" s="11"/>
      <c r="Y52" s="11"/>
      <c r="Z52" s="12"/>
    </row>
    <row r="53" ht="51.0" customHeight="1">
      <c r="A53" s="97" t="s">
        <v>93</v>
      </c>
      <c r="B53" s="100">
        <f>LET(
  entryPrice, IF(B27="Limit", B47, B46), 
    IF(
      B21="Long",
      CEILING(entryPrice+B33*B9,B30*B16),
      FLOOR(entryPrice-B33*B9,B30*B16)
    )
  )
</f>
        <v>0</v>
      </c>
      <c r="C53" s="99" t="s">
        <v>94</v>
      </c>
      <c r="D53" s="11"/>
      <c r="E53" s="11"/>
      <c r="F53" s="11"/>
      <c r="G53" s="11"/>
      <c r="H53" s="11"/>
      <c r="I53" s="11"/>
      <c r="J53" s="11"/>
      <c r="K53" s="11"/>
      <c r="L53" s="11"/>
      <c r="M53" s="11"/>
      <c r="N53" s="11"/>
      <c r="O53" s="11"/>
      <c r="P53" s="11"/>
      <c r="Q53" s="11"/>
      <c r="R53" s="11"/>
      <c r="S53" s="11"/>
      <c r="T53" s="11"/>
      <c r="U53" s="11"/>
      <c r="V53" s="11"/>
      <c r="W53" s="11"/>
      <c r="X53" s="11"/>
      <c r="Y53" s="11"/>
      <c r="Z53" s="12"/>
    </row>
    <row r="54" ht="36.0" customHeight="1">
      <c r="A54" s="97" t="s">
        <v>95</v>
      </c>
      <c r="B54" s="98">
        <f>IF(OR(B39,B40),0,IF(B41,B45,ROUND(B11*B45,0)))</f>
        <v>0</v>
      </c>
      <c r="C54" s="99" t="s">
        <v>96</v>
      </c>
      <c r="D54" s="11"/>
      <c r="E54" s="11"/>
      <c r="F54" s="11"/>
      <c r="G54" s="11"/>
      <c r="H54" s="11"/>
      <c r="I54" s="11"/>
      <c r="J54" s="11"/>
      <c r="K54" s="11"/>
      <c r="L54" s="11"/>
      <c r="M54" s="11"/>
      <c r="N54" s="11"/>
      <c r="O54" s="11"/>
      <c r="P54" s="11"/>
      <c r="Q54" s="11"/>
      <c r="R54" s="11"/>
      <c r="S54" s="11"/>
      <c r="T54" s="11"/>
      <c r="U54" s="11"/>
      <c r="V54" s="11"/>
      <c r="W54" s="11"/>
      <c r="X54" s="11"/>
      <c r="Y54" s="11"/>
      <c r="Z54" s="12"/>
    </row>
    <row r="55" ht="36.0" customHeight="1">
      <c r="A55" s="97" t="s">
        <v>97</v>
      </c>
      <c r="B55" s="98">
        <f>IF(OR(B39,B40),0,IF(B41,0,B45-B54))</f>
        <v>0</v>
      </c>
      <c r="C55" s="99" t="s">
        <v>98</v>
      </c>
      <c r="D55" s="11"/>
      <c r="E55" s="11"/>
      <c r="F55" s="11"/>
      <c r="G55" s="11"/>
      <c r="H55" s="11"/>
      <c r="I55" s="11"/>
      <c r="J55" s="11"/>
      <c r="K55" s="11"/>
      <c r="L55" s="11"/>
      <c r="M55" s="11"/>
      <c r="N55" s="11"/>
      <c r="O55" s="11"/>
      <c r="P55" s="11"/>
      <c r="Q55" s="11"/>
      <c r="R55" s="11"/>
      <c r="S55" s="11"/>
      <c r="T55" s="11"/>
      <c r="U55" s="11"/>
      <c r="V55" s="11"/>
      <c r="W55" s="11"/>
      <c r="X55" s="11"/>
      <c r="Y55" s="11"/>
      <c r="Z55" s="12"/>
    </row>
    <row r="56" ht="36.0" customHeight="1">
      <c r="A56" s="97" t="s">
        <v>99</v>
      </c>
      <c r="B56" s="105">
        <f>LET(
  entryPrice, IF(B27="Limit", B47, B46),
  IF(B21="Long",ROUND((entryPrice-B50)*B45,0),ROUND((B50-entryPrice)*B45,0))
)</f>
        <v>0</v>
      </c>
      <c r="C56" s="101" t="s">
        <v>100</v>
      </c>
      <c r="D56" s="11"/>
      <c r="E56" s="11"/>
      <c r="F56" s="11"/>
      <c r="G56" s="11"/>
      <c r="H56" s="11"/>
      <c r="I56" s="11"/>
      <c r="J56" s="11"/>
      <c r="K56" s="11"/>
      <c r="L56" s="11"/>
      <c r="M56" s="11"/>
      <c r="N56" s="11"/>
      <c r="O56" s="11"/>
      <c r="P56" s="11"/>
      <c r="Q56" s="11"/>
      <c r="R56" s="11"/>
      <c r="S56" s="11"/>
      <c r="T56" s="11"/>
      <c r="U56" s="11"/>
      <c r="V56" s="11"/>
      <c r="W56" s="11"/>
      <c r="X56" s="11"/>
      <c r="Y56" s="11"/>
      <c r="Z56" s="12"/>
    </row>
    <row r="57" ht="36.0" customHeight="1">
      <c r="A57" s="97" t="s">
        <v>101</v>
      </c>
      <c r="B57" s="106" t="str">
        <f>IF(B18&gt;0,ROUND(B56/B18,1)&amp;"R","N/A")</f>
        <v>0R</v>
      </c>
      <c r="C57" s="99" t="s">
        <v>102</v>
      </c>
      <c r="D57" s="11"/>
      <c r="E57" s="11"/>
      <c r="F57" s="90"/>
      <c r="G57" s="11"/>
      <c r="H57" s="11"/>
      <c r="I57" s="11"/>
      <c r="J57" s="11"/>
      <c r="K57" s="11"/>
      <c r="L57" s="11"/>
      <c r="M57" s="11"/>
      <c r="N57" s="11"/>
      <c r="O57" s="11"/>
      <c r="P57" s="11"/>
      <c r="Q57" s="11"/>
      <c r="R57" s="11"/>
      <c r="S57" s="11"/>
      <c r="T57" s="11"/>
      <c r="U57" s="11"/>
      <c r="V57" s="11"/>
      <c r="W57" s="11"/>
      <c r="X57" s="11"/>
      <c r="Y57" s="11"/>
      <c r="Z57" s="12"/>
    </row>
    <row r="58" ht="36.0" customHeight="1">
      <c r="A58" s="107" t="s">
        <v>103</v>
      </c>
      <c r="B58" s="108">
        <f>LET(
  entryPrice, IF(B27="Limit", B47, B46),
  IF(B21="Long",ROUND((entryPrice-B48)*B45,0),ROUND((B48-entryPrice)*B45,0))
)</f>
        <v>0</v>
      </c>
      <c r="C58" s="101" t="s">
        <v>104</v>
      </c>
      <c r="D58" s="11"/>
      <c r="E58" s="11"/>
      <c r="F58" s="11"/>
      <c r="G58" s="11"/>
      <c r="H58" s="11"/>
      <c r="I58" s="11"/>
      <c r="J58" s="11"/>
      <c r="K58" s="11"/>
      <c r="L58" s="11"/>
      <c r="M58" s="11"/>
      <c r="N58" s="11"/>
      <c r="O58" s="11"/>
      <c r="P58" s="11"/>
      <c r="Q58" s="11"/>
      <c r="R58" s="11"/>
      <c r="S58" s="11"/>
      <c r="T58" s="11"/>
      <c r="U58" s="11"/>
      <c r="V58" s="11"/>
      <c r="W58" s="11"/>
      <c r="X58" s="11"/>
      <c r="Y58" s="11"/>
      <c r="Z58" s="12"/>
    </row>
    <row r="59" ht="36.0" customHeight="1">
      <c r="A59" s="109" t="s">
        <v>105</v>
      </c>
      <c r="B59" s="110" t="str">
        <f>IF(B18&gt;0,ROUND(B58/B18,1)&amp;"R","N/A")</f>
        <v>0R</v>
      </c>
      <c r="C59" s="111" t="s">
        <v>106</v>
      </c>
      <c r="D59" s="11"/>
      <c r="E59" s="11"/>
      <c r="F59" s="11"/>
      <c r="G59" s="11"/>
      <c r="H59" s="11"/>
      <c r="I59" s="11"/>
      <c r="J59" s="11"/>
      <c r="K59" s="11"/>
      <c r="L59" s="11"/>
      <c r="M59" s="11"/>
      <c r="N59" s="11"/>
      <c r="O59" s="11"/>
      <c r="P59" s="11"/>
      <c r="Q59" s="11"/>
      <c r="R59" s="11"/>
      <c r="S59" s="11"/>
      <c r="T59" s="11"/>
      <c r="U59" s="11"/>
      <c r="V59" s="11"/>
      <c r="W59" s="11"/>
      <c r="X59" s="11"/>
      <c r="Y59" s="11"/>
      <c r="Z59" s="12"/>
    </row>
    <row r="60" ht="36.0" customHeight="1">
      <c r="A60" s="109" t="s">
        <v>107</v>
      </c>
      <c r="B60" s="112">
        <f>LET(
  entryPrice, IF(B27="Limit", B47, B46),
  IF(B21="Long",(B52-entryPrice)*B45,(entryPrice-B52)*B45)
)</f>
        <v>0</v>
      </c>
      <c r="C60" s="113" t="s">
        <v>108</v>
      </c>
      <c r="D60" s="11"/>
      <c r="E60" s="11"/>
      <c r="F60" s="11"/>
      <c r="G60" s="11"/>
      <c r="H60" s="11"/>
      <c r="I60" s="11"/>
      <c r="J60" s="11"/>
      <c r="K60" s="11"/>
      <c r="L60" s="11"/>
      <c r="M60" s="11"/>
      <c r="N60" s="11"/>
      <c r="O60" s="11"/>
      <c r="P60" s="11"/>
      <c r="Q60" s="11"/>
      <c r="R60" s="11"/>
      <c r="S60" s="11"/>
      <c r="T60" s="11"/>
      <c r="U60" s="11"/>
      <c r="V60" s="11"/>
      <c r="W60" s="11"/>
      <c r="X60" s="11"/>
      <c r="Y60" s="11"/>
      <c r="Z60" s="12"/>
    </row>
    <row r="61" ht="36.0" customHeight="1">
      <c r="A61" s="109" t="s">
        <v>109</v>
      </c>
      <c r="B61" s="114" t="str">
        <f>IF(B18&gt;0,ROUND(B60/B18,1)&amp;"R","N/A")</f>
        <v>0R</v>
      </c>
      <c r="C61" s="111" t="s">
        <v>110</v>
      </c>
      <c r="D61" s="11"/>
      <c r="E61" s="11"/>
      <c r="F61" s="11"/>
      <c r="G61" s="11"/>
      <c r="H61" s="11"/>
      <c r="I61" s="11"/>
      <c r="J61" s="11"/>
      <c r="K61" s="11"/>
      <c r="L61" s="11"/>
      <c r="M61" s="11"/>
      <c r="N61" s="11"/>
      <c r="O61" s="11"/>
      <c r="P61" s="11"/>
      <c r="Q61" s="11"/>
      <c r="R61" s="11"/>
      <c r="S61" s="11"/>
      <c r="T61" s="11"/>
      <c r="U61" s="11"/>
      <c r="V61" s="11"/>
      <c r="W61" s="11"/>
      <c r="X61" s="11"/>
      <c r="Y61" s="11"/>
      <c r="Z61" s="12"/>
    </row>
    <row r="62" ht="36.0" customHeight="1">
      <c r="A62" s="109" t="s">
        <v>111</v>
      </c>
      <c r="B62" s="112">
        <f>LET(
  entryPrice, IF(B27="Limit", B47, B46),
  IF(B21="Long",(B52-entryPrice)*B54+(B53-entryPrice)*B55,(entryPrice-B52)*B54+(entryPrice-B53)*B55)
)</f>
        <v>0</v>
      </c>
      <c r="C62" s="113" t="s">
        <v>112</v>
      </c>
      <c r="D62" s="11"/>
      <c r="E62" s="11"/>
      <c r="F62" s="11"/>
      <c r="G62" s="11"/>
      <c r="H62" s="11"/>
      <c r="I62" s="11"/>
      <c r="J62" s="11"/>
      <c r="K62" s="11"/>
      <c r="L62" s="11"/>
      <c r="M62" s="11"/>
      <c r="N62" s="11"/>
      <c r="O62" s="11"/>
      <c r="P62" s="11"/>
      <c r="Q62" s="11"/>
      <c r="R62" s="11"/>
      <c r="S62" s="11"/>
      <c r="T62" s="11"/>
      <c r="U62" s="11"/>
      <c r="V62" s="11"/>
      <c r="W62" s="11"/>
      <c r="X62" s="11"/>
      <c r="Y62" s="11"/>
      <c r="Z62" s="12"/>
    </row>
    <row r="63" ht="36.0" customHeight="1">
      <c r="A63" s="115" t="s">
        <v>113</v>
      </c>
      <c r="B63" s="116" t="str">
        <f>IF(B18&gt;0,ROUND(B62/B18,1)&amp;"R","N/A")</f>
        <v>0R</v>
      </c>
      <c r="C63" s="117" t="s">
        <v>114</v>
      </c>
      <c r="D63" s="11"/>
      <c r="E63" s="11"/>
      <c r="F63" s="11"/>
      <c r="G63" s="11"/>
      <c r="H63" s="11"/>
      <c r="I63" s="11"/>
      <c r="J63" s="11"/>
      <c r="K63" s="11"/>
      <c r="L63" s="11"/>
      <c r="M63" s="11"/>
      <c r="N63" s="11"/>
      <c r="O63" s="11"/>
      <c r="P63" s="11"/>
      <c r="Q63" s="11"/>
      <c r="R63" s="11"/>
      <c r="S63" s="11"/>
      <c r="T63" s="11"/>
      <c r="U63" s="11"/>
      <c r="V63" s="11"/>
      <c r="W63" s="11"/>
      <c r="X63" s="11"/>
      <c r="Y63" s="11"/>
      <c r="Z63" s="12"/>
    </row>
    <row r="64" ht="21.75" customHeight="1">
      <c r="A64" s="118"/>
      <c r="B64" s="119"/>
      <c r="C64" s="120"/>
      <c r="D64" s="11"/>
      <c r="E64" s="11"/>
      <c r="F64" s="11"/>
      <c r="G64" s="11"/>
      <c r="H64" s="11"/>
      <c r="I64" s="11"/>
      <c r="J64" s="11"/>
      <c r="K64" s="11"/>
      <c r="L64" s="11"/>
      <c r="M64" s="11"/>
      <c r="N64" s="11"/>
      <c r="O64" s="11"/>
      <c r="P64" s="11"/>
      <c r="Q64" s="11"/>
      <c r="R64" s="11"/>
      <c r="S64" s="11"/>
      <c r="T64" s="11"/>
      <c r="U64" s="11"/>
      <c r="V64" s="11"/>
      <c r="W64" s="11"/>
      <c r="X64" s="11"/>
      <c r="Y64" s="11"/>
      <c r="Z64" s="12"/>
    </row>
    <row r="65" ht="21.75" customHeight="1">
      <c r="A65" s="118"/>
      <c r="B65" s="119"/>
      <c r="C65" s="120"/>
      <c r="D65" s="11"/>
      <c r="E65" s="11"/>
      <c r="F65" s="11"/>
      <c r="G65" s="11"/>
      <c r="H65" s="11"/>
      <c r="I65" s="11"/>
      <c r="J65" s="11"/>
      <c r="K65" s="11"/>
      <c r="L65" s="11"/>
      <c r="M65" s="11"/>
      <c r="N65" s="11"/>
      <c r="O65" s="11"/>
      <c r="P65" s="11"/>
      <c r="Q65" s="11"/>
      <c r="R65" s="11"/>
      <c r="S65" s="11"/>
      <c r="T65" s="11"/>
      <c r="U65" s="11"/>
      <c r="V65" s="11"/>
      <c r="W65" s="11"/>
      <c r="X65" s="11"/>
      <c r="Y65" s="11"/>
      <c r="Z65" s="12"/>
    </row>
    <row r="66" ht="21.75" customHeight="1">
      <c r="A66" s="118"/>
      <c r="B66" s="119"/>
      <c r="C66" s="120"/>
      <c r="D66" s="11"/>
      <c r="E66" s="11"/>
      <c r="F66" s="11"/>
      <c r="G66" s="11"/>
      <c r="H66" s="11"/>
      <c r="I66" s="11"/>
      <c r="J66" s="11"/>
      <c r="K66" s="11"/>
      <c r="L66" s="11"/>
      <c r="M66" s="11"/>
      <c r="N66" s="11"/>
      <c r="O66" s="11"/>
      <c r="P66" s="11"/>
      <c r="Q66" s="11"/>
      <c r="R66" s="11"/>
      <c r="S66" s="11"/>
      <c r="T66" s="11"/>
      <c r="U66" s="11"/>
      <c r="V66" s="11"/>
      <c r="W66" s="11"/>
      <c r="X66" s="11"/>
      <c r="Y66" s="11"/>
      <c r="Z66" s="12"/>
    </row>
    <row r="67" ht="15.75" customHeight="1">
      <c r="A67" s="118"/>
      <c r="B67" s="119"/>
      <c r="C67" s="120"/>
      <c r="D67" s="11"/>
      <c r="E67" s="11"/>
      <c r="F67" s="11"/>
      <c r="G67" s="11"/>
      <c r="H67" s="11"/>
      <c r="I67" s="11"/>
      <c r="J67" s="11"/>
      <c r="K67" s="11"/>
      <c r="L67" s="11"/>
      <c r="M67" s="11"/>
      <c r="N67" s="11"/>
      <c r="O67" s="11"/>
      <c r="P67" s="11"/>
      <c r="Q67" s="11"/>
      <c r="R67" s="11"/>
      <c r="S67" s="11"/>
      <c r="T67" s="11"/>
      <c r="U67" s="11"/>
      <c r="V67" s="11"/>
      <c r="W67" s="11"/>
      <c r="X67" s="11"/>
      <c r="Y67" s="11"/>
      <c r="Z67" s="12"/>
    </row>
    <row r="68" ht="15.75" customHeight="1">
      <c r="A68" s="118"/>
      <c r="B68" s="119"/>
      <c r="C68" s="120"/>
      <c r="D68" s="11"/>
      <c r="E68" s="11"/>
      <c r="F68" s="11"/>
      <c r="G68" s="11"/>
      <c r="H68" s="11"/>
      <c r="I68" s="11"/>
      <c r="J68" s="11"/>
      <c r="K68" s="11"/>
      <c r="L68" s="11"/>
      <c r="M68" s="11"/>
      <c r="N68" s="11"/>
      <c r="O68" s="11"/>
      <c r="P68" s="11"/>
      <c r="Q68" s="11"/>
      <c r="R68" s="11"/>
      <c r="S68" s="11"/>
      <c r="T68" s="11"/>
      <c r="U68" s="11"/>
      <c r="V68" s="11"/>
      <c r="W68" s="11"/>
      <c r="X68" s="11"/>
      <c r="Y68" s="11"/>
      <c r="Z68" s="12"/>
    </row>
    <row r="69" ht="15.75" customHeight="1">
      <c r="A69" s="118"/>
      <c r="B69" s="119"/>
      <c r="C69" s="120"/>
      <c r="D69" s="11"/>
      <c r="E69" s="11"/>
      <c r="F69" s="11"/>
      <c r="G69" s="11"/>
      <c r="H69" s="11"/>
      <c r="I69" s="11"/>
      <c r="J69" s="11"/>
      <c r="K69" s="11"/>
      <c r="L69" s="11"/>
      <c r="M69" s="11"/>
      <c r="N69" s="11"/>
      <c r="O69" s="11"/>
      <c r="P69" s="11"/>
      <c r="Q69" s="11"/>
      <c r="R69" s="11"/>
      <c r="S69" s="11"/>
      <c r="T69" s="11"/>
      <c r="U69" s="11"/>
      <c r="V69" s="11"/>
      <c r="W69" s="11"/>
      <c r="X69" s="11"/>
      <c r="Y69" s="11"/>
      <c r="Z69" s="12"/>
    </row>
    <row r="70" ht="15.75" customHeight="1">
      <c r="A70" s="118"/>
      <c r="B70" s="119"/>
      <c r="C70" s="120"/>
      <c r="D70" s="11"/>
      <c r="E70" s="11"/>
      <c r="F70" s="11"/>
      <c r="G70" s="11"/>
      <c r="H70" s="11"/>
      <c r="I70" s="11"/>
      <c r="J70" s="11"/>
      <c r="K70" s="11"/>
      <c r="L70" s="11"/>
      <c r="M70" s="11"/>
      <c r="N70" s="11"/>
      <c r="O70" s="11"/>
      <c r="P70" s="11"/>
      <c r="Q70" s="11"/>
      <c r="R70" s="11"/>
      <c r="S70" s="11"/>
      <c r="T70" s="11"/>
      <c r="U70" s="11"/>
      <c r="V70" s="11"/>
      <c r="W70" s="11"/>
      <c r="X70" s="11"/>
      <c r="Y70" s="11"/>
      <c r="Z70" s="12"/>
    </row>
    <row r="71" ht="15.75" customHeight="1">
      <c r="A71" s="118"/>
      <c r="B71" s="119"/>
      <c r="C71" s="120"/>
      <c r="D71" s="11"/>
      <c r="E71" s="11"/>
      <c r="F71" s="11"/>
      <c r="G71" s="11"/>
      <c r="H71" s="11"/>
      <c r="I71" s="11"/>
      <c r="J71" s="11"/>
      <c r="K71" s="11"/>
      <c r="L71" s="11"/>
      <c r="M71" s="11"/>
      <c r="N71" s="11"/>
      <c r="O71" s="11"/>
      <c r="P71" s="11"/>
      <c r="Q71" s="11"/>
      <c r="R71" s="11"/>
      <c r="S71" s="11"/>
      <c r="T71" s="11"/>
      <c r="U71" s="11"/>
      <c r="V71" s="11"/>
      <c r="W71" s="11"/>
      <c r="X71" s="11"/>
      <c r="Y71" s="11"/>
      <c r="Z71" s="12"/>
    </row>
    <row r="72" ht="15.75" customHeight="1">
      <c r="A72" s="118"/>
      <c r="B72" s="119"/>
      <c r="C72" s="120"/>
      <c r="D72" s="11"/>
      <c r="E72" s="11"/>
      <c r="F72" s="11"/>
      <c r="G72" s="11"/>
      <c r="H72" s="11"/>
      <c r="I72" s="11"/>
      <c r="J72" s="11"/>
      <c r="K72" s="11"/>
      <c r="L72" s="11"/>
      <c r="M72" s="11"/>
      <c r="N72" s="11"/>
      <c r="O72" s="11"/>
      <c r="P72" s="11"/>
      <c r="Q72" s="11"/>
      <c r="R72" s="11"/>
      <c r="S72" s="11"/>
      <c r="T72" s="11"/>
      <c r="U72" s="11"/>
      <c r="V72" s="11"/>
      <c r="W72" s="11"/>
      <c r="X72" s="11"/>
      <c r="Y72" s="11"/>
      <c r="Z72" s="12"/>
    </row>
    <row r="73" ht="15.75" customHeight="1">
      <c r="A73" s="118"/>
      <c r="B73" s="119"/>
      <c r="C73" s="120"/>
      <c r="D73" s="11"/>
      <c r="E73" s="11"/>
      <c r="F73" s="11"/>
      <c r="G73" s="11"/>
      <c r="H73" s="11"/>
      <c r="I73" s="11"/>
      <c r="J73" s="11"/>
      <c r="K73" s="11"/>
      <c r="L73" s="11"/>
      <c r="M73" s="11"/>
      <c r="N73" s="11"/>
      <c r="O73" s="11"/>
      <c r="P73" s="11"/>
      <c r="Q73" s="11"/>
      <c r="R73" s="11"/>
      <c r="S73" s="11"/>
      <c r="T73" s="11"/>
      <c r="U73" s="11"/>
      <c r="V73" s="11"/>
      <c r="W73" s="11"/>
      <c r="X73" s="11"/>
      <c r="Y73" s="11"/>
      <c r="Z73" s="12"/>
    </row>
    <row r="74" ht="15.75" customHeight="1">
      <c r="A74" s="118"/>
      <c r="B74" s="119"/>
      <c r="C74" s="120"/>
      <c r="D74" s="11"/>
      <c r="E74" s="11"/>
      <c r="F74" s="11"/>
      <c r="G74" s="11"/>
      <c r="H74" s="11"/>
      <c r="I74" s="11"/>
      <c r="J74" s="11"/>
      <c r="K74" s="11"/>
      <c r="L74" s="11"/>
      <c r="M74" s="11"/>
      <c r="N74" s="11"/>
      <c r="O74" s="11"/>
      <c r="P74" s="11"/>
      <c r="Q74" s="11"/>
      <c r="R74" s="11"/>
      <c r="S74" s="11"/>
      <c r="T74" s="11"/>
      <c r="U74" s="11"/>
      <c r="V74" s="11"/>
      <c r="W74" s="11"/>
      <c r="X74" s="11"/>
      <c r="Y74" s="11"/>
      <c r="Z74" s="12"/>
    </row>
    <row r="75" ht="15.75" customHeight="1">
      <c r="A75" s="118"/>
      <c r="B75" s="119"/>
      <c r="C75" s="120"/>
      <c r="D75" s="11"/>
      <c r="E75" s="11"/>
      <c r="F75" s="11"/>
      <c r="G75" s="11"/>
      <c r="H75" s="11"/>
      <c r="I75" s="11"/>
      <c r="J75" s="11"/>
      <c r="K75" s="11"/>
      <c r="L75" s="11"/>
      <c r="M75" s="11"/>
      <c r="N75" s="11"/>
      <c r="O75" s="11"/>
      <c r="P75" s="11"/>
      <c r="Q75" s="11"/>
      <c r="R75" s="11"/>
      <c r="S75" s="11"/>
      <c r="T75" s="11"/>
      <c r="U75" s="11"/>
      <c r="V75" s="11"/>
      <c r="W75" s="11"/>
      <c r="X75" s="11"/>
      <c r="Y75" s="11"/>
      <c r="Z75" s="12"/>
    </row>
    <row r="76" ht="15.75" customHeight="1">
      <c r="A76" s="118"/>
      <c r="B76" s="119"/>
      <c r="C76" s="120"/>
      <c r="D76" s="11"/>
      <c r="E76" s="11"/>
      <c r="F76" s="11"/>
      <c r="G76" s="11"/>
      <c r="H76" s="11"/>
      <c r="I76" s="11"/>
      <c r="J76" s="11"/>
      <c r="K76" s="11"/>
      <c r="L76" s="11"/>
      <c r="M76" s="11"/>
      <c r="N76" s="11"/>
      <c r="O76" s="11"/>
      <c r="P76" s="11"/>
      <c r="Q76" s="11"/>
      <c r="R76" s="11"/>
      <c r="S76" s="11"/>
      <c r="T76" s="11"/>
      <c r="U76" s="11"/>
      <c r="V76" s="11"/>
      <c r="W76" s="11"/>
      <c r="X76" s="11"/>
      <c r="Y76" s="11"/>
      <c r="Z76" s="12"/>
    </row>
    <row r="77" ht="15.75" customHeight="1">
      <c r="A77" s="118"/>
      <c r="B77" s="119"/>
      <c r="C77" s="120"/>
      <c r="D77" s="11"/>
      <c r="E77" s="11"/>
      <c r="F77" s="11"/>
      <c r="G77" s="11"/>
      <c r="H77" s="11"/>
      <c r="I77" s="11"/>
      <c r="J77" s="11"/>
      <c r="K77" s="11"/>
      <c r="L77" s="11"/>
      <c r="M77" s="11"/>
      <c r="N77" s="11"/>
      <c r="O77" s="11"/>
      <c r="P77" s="11"/>
      <c r="Q77" s="11"/>
      <c r="R77" s="11"/>
      <c r="S77" s="11"/>
      <c r="T77" s="11"/>
      <c r="U77" s="11"/>
      <c r="V77" s="11"/>
      <c r="W77" s="11"/>
      <c r="X77" s="11"/>
      <c r="Y77" s="11"/>
      <c r="Z77" s="12"/>
    </row>
    <row r="78" ht="15.75" customHeight="1">
      <c r="A78" s="118"/>
      <c r="B78" s="119"/>
      <c r="C78" s="120"/>
      <c r="D78" s="11"/>
      <c r="E78" s="11"/>
      <c r="F78" s="11"/>
      <c r="G78" s="11"/>
      <c r="H78" s="11"/>
      <c r="I78" s="11"/>
      <c r="J78" s="11"/>
      <c r="K78" s="11"/>
      <c r="L78" s="11"/>
      <c r="M78" s="11"/>
      <c r="N78" s="11"/>
      <c r="O78" s="11"/>
      <c r="P78" s="11"/>
      <c r="Q78" s="11"/>
      <c r="R78" s="11"/>
      <c r="S78" s="11"/>
      <c r="T78" s="11"/>
      <c r="U78" s="11"/>
      <c r="V78" s="11"/>
      <c r="W78" s="11"/>
      <c r="X78" s="11"/>
      <c r="Y78" s="11"/>
      <c r="Z78" s="12"/>
    </row>
    <row r="79" ht="15.75" customHeight="1">
      <c r="A79" s="118"/>
      <c r="B79" s="119"/>
      <c r="C79" s="120"/>
      <c r="D79" s="11"/>
      <c r="E79" s="11"/>
      <c r="F79" s="11"/>
      <c r="G79" s="11"/>
      <c r="H79" s="11"/>
      <c r="I79" s="11"/>
      <c r="J79" s="11"/>
      <c r="K79" s="11"/>
      <c r="L79" s="11"/>
      <c r="M79" s="11"/>
      <c r="N79" s="11"/>
      <c r="O79" s="11"/>
      <c r="P79" s="11"/>
      <c r="Q79" s="11"/>
      <c r="R79" s="11"/>
      <c r="S79" s="11"/>
      <c r="T79" s="11"/>
      <c r="U79" s="11"/>
      <c r="V79" s="11"/>
      <c r="W79" s="11"/>
      <c r="X79" s="11"/>
      <c r="Y79" s="11"/>
      <c r="Z79" s="12"/>
    </row>
    <row r="80" ht="15.75" customHeight="1">
      <c r="A80" s="118"/>
      <c r="B80" s="119"/>
      <c r="C80" s="120"/>
      <c r="D80" s="11"/>
      <c r="E80" s="11"/>
      <c r="F80" s="11"/>
      <c r="G80" s="11"/>
      <c r="H80" s="11"/>
      <c r="I80" s="11"/>
      <c r="J80" s="11"/>
      <c r="K80" s="11"/>
      <c r="L80" s="11"/>
      <c r="M80" s="11"/>
      <c r="N80" s="11"/>
      <c r="O80" s="11"/>
      <c r="P80" s="11"/>
      <c r="Q80" s="11"/>
      <c r="R80" s="11"/>
      <c r="S80" s="11"/>
      <c r="T80" s="11"/>
      <c r="U80" s="11"/>
      <c r="V80" s="11"/>
      <c r="W80" s="11"/>
      <c r="X80" s="11"/>
      <c r="Y80" s="11"/>
      <c r="Z80" s="12"/>
    </row>
    <row r="81" ht="15.75" customHeight="1">
      <c r="A81" s="118"/>
      <c r="B81" s="119"/>
      <c r="C81" s="120"/>
      <c r="D81" s="11"/>
      <c r="E81" s="11"/>
      <c r="F81" s="11"/>
      <c r="G81" s="11"/>
      <c r="H81" s="11"/>
      <c r="I81" s="11"/>
      <c r="J81" s="11"/>
      <c r="K81" s="11"/>
      <c r="L81" s="11"/>
      <c r="M81" s="11"/>
      <c r="N81" s="11"/>
      <c r="O81" s="11"/>
      <c r="P81" s="11"/>
      <c r="Q81" s="11"/>
      <c r="R81" s="11"/>
      <c r="S81" s="11"/>
      <c r="T81" s="11"/>
      <c r="U81" s="11"/>
      <c r="V81" s="11"/>
      <c r="W81" s="11"/>
      <c r="X81" s="11"/>
      <c r="Y81" s="11"/>
      <c r="Z81" s="12"/>
    </row>
    <row r="82" ht="15.75" customHeight="1">
      <c r="A82" s="118"/>
      <c r="B82" s="119"/>
      <c r="C82" s="120"/>
      <c r="D82" s="11"/>
      <c r="E82" s="11"/>
      <c r="F82" s="11"/>
      <c r="G82" s="11"/>
      <c r="H82" s="11"/>
      <c r="I82" s="11"/>
      <c r="J82" s="11"/>
      <c r="K82" s="11"/>
      <c r="L82" s="11"/>
      <c r="M82" s="11"/>
      <c r="N82" s="11"/>
      <c r="O82" s="11"/>
      <c r="P82" s="11"/>
      <c r="Q82" s="11"/>
      <c r="R82" s="11"/>
      <c r="S82" s="11"/>
      <c r="T82" s="11"/>
      <c r="U82" s="11"/>
      <c r="V82" s="11"/>
      <c r="W82" s="11"/>
      <c r="X82" s="11"/>
      <c r="Y82" s="11"/>
      <c r="Z82" s="12"/>
    </row>
    <row r="83" ht="15.75" customHeight="1">
      <c r="A83" s="118"/>
      <c r="B83" s="119"/>
      <c r="C83" s="120"/>
      <c r="D83" s="11"/>
      <c r="E83" s="11"/>
      <c r="F83" s="11"/>
      <c r="G83" s="11"/>
      <c r="H83" s="11"/>
      <c r="I83" s="11"/>
      <c r="J83" s="11"/>
      <c r="K83" s="11"/>
      <c r="L83" s="11"/>
      <c r="M83" s="11"/>
      <c r="N83" s="11"/>
      <c r="O83" s="11"/>
      <c r="P83" s="11"/>
      <c r="Q83" s="11"/>
      <c r="R83" s="11"/>
      <c r="S83" s="11"/>
      <c r="T83" s="11"/>
      <c r="U83" s="11"/>
      <c r="V83" s="11"/>
      <c r="W83" s="11"/>
      <c r="X83" s="11"/>
      <c r="Y83" s="11"/>
      <c r="Z83" s="12"/>
    </row>
    <row r="84" ht="15.75" customHeight="1">
      <c r="A84" s="118"/>
      <c r="B84" s="119"/>
      <c r="C84" s="120"/>
      <c r="D84" s="11"/>
      <c r="E84" s="11"/>
      <c r="F84" s="11"/>
      <c r="G84" s="11"/>
      <c r="H84" s="11"/>
      <c r="I84" s="11"/>
      <c r="J84" s="11"/>
      <c r="K84" s="11"/>
      <c r="L84" s="11"/>
      <c r="M84" s="11"/>
      <c r="N84" s="11"/>
      <c r="O84" s="11"/>
      <c r="P84" s="11"/>
      <c r="Q84" s="11"/>
      <c r="R84" s="11"/>
      <c r="S84" s="11"/>
      <c r="T84" s="11"/>
      <c r="U84" s="11"/>
      <c r="V84" s="11"/>
      <c r="W84" s="11"/>
      <c r="X84" s="11"/>
      <c r="Y84" s="11"/>
      <c r="Z84" s="12"/>
    </row>
    <row r="85" ht="15.75" customHeight="1">
      <c r="A85" s="118"/>
      <c r="B85" s="119"/>
      <c r="C85" s="120"/>
      <c r="D85" s="11"/>
      <c r="E85" s="11"/>
      <c r="F85" s="11"/>
      <c r="G85" s="11"/>
      <c r="H85" s="11"/>
      <c r="I85" s="11"/>
      <c r="J85" s="11"/>
      <c r="K85" s="11"/>
      <c r="L85" s="11"/>
      <c r="M85" s="11"/>
      <c r="N85" s="11"/>
      <c r="O85" s="11"/>
      <c r="P85" s="11"/>
      <c r="Q85" s="11"/>
      <c r="R85" s="11"/>
      <c r="S85" s="11"/>
      <c r="T85" s="11"/>
      <c r="U85" s="11"/>
      <c r="V85" s="11"/>
      <c r="W85" s="11"/>
      <c r="X85" s="11"/>
      <c r="Y85" s="11"/>
      <c r="Z85" s="12"/>
    </row>
    <row r="86" ht="15.75" customHeight="1">
      <c r="A86" s="118"/>
      <c r="B86" s="119"/>
      <c r="C86" s="120"/>
      <c r="D86" s="11"/>
      <c r="E86" s="11"/>
      <c r="F86" s="11"/>
      <c r="G86" s="11"/>
      <c r="H86" s="11"/>
      <c r="I86" s="11"/>
      <c r="J86" s="11"/>
      <c r="K86" s="11"/>
      <c r="L86" s="11"/>
      <c r="M86" s="11"/>
      <c r="N86" s="11"/>
      <c r="O86" s="11"/>
      <c r="P86" s="11"/>
      <c r="Q86" s="11"/>
      <c r="R86" s="11"/>
      <c r="S86" s="11"/>
      <c r="T86" s="11"/>
      <c r="U86" s="11"/>
      <c r="V86" s="11"/>
      <c r="W86" s="11"/>
      <c r="X86" s="11"/>
      <c r="Y86" s="11"/>
      <c r="Z86" s="12"/>
    </row>
    <row r="87" ht="15.75" customHeight="1">
      <c r="A87" s="118"/>
      <c r="B87" s="119"/>
      <c r="C87" s="120"/>
      <c r="D87" s="11"/>
      <c r="E87" s="11"/>
      <c r="F87" s="11"/>
      <c r="G87" s="11"/>
      <c r="H87" s="11"/>
      <c r="I87" s="11"/>
      <c r="J87" s="11"/>
      <c r="K87" s="11"/>
      <c r="L87" s="11"/>
      <c r="M87" s="11"/>
      <c r="N87" s="11"/>
      <c r="O87" s="11"/>
      <c r="P87" s="11"/>
      <c r="Q87" s="11"/>
      <c r="R87" s="11"/>
      <c r="S87" s="11"/>
      <c r="T87" s="11"/>
      <c r="U87" s="11"/>
      <c r="V87" s="11"/>
      <c r="W87" s="11"/>
      <c r="X87" s="11"/>
      <c r="Y87" s="11"/>
      <c r="Z87" s="12"/>
    </row>
    <row r="88" ht="15.75" customHeight="1">
      <c r="A88" s="118"/>
      <c r="B88" s="119"/>
      <c r="C88" s="120"/>
      <c r="D88" s="11"/>
      <c r="E88" s="11"/>
      <c r="F88" s="11"/>
      <c r="G88" s="11"/>
      <c r="H88" s="11"/>
      <c r="I88" s="11"/>
      <c r="J88" s="11"/>
      <c r="K88" s="11"/>
      <c r="L88" s="11"/>
      <c r="M88" s="11"/>
      <c r="N88" s="11"/>
      <c r="O88" s="11"/>
      <c r="P88" s="11"/>
      <c r="Q88" s="11"/>
      <c r="R88" s="11"/>
      <c r="S88" s="11"/>
      <c r="T88" s="11"/>
      <c r="U88" s="11"/>
      <c r="V88" s="11"/>
      <c r="W88" s="11"/>
      <c r="X88" s="11"/>
      <c r="Y88" s="11"/>
      <c r="Z88" s="12"/>
    </row>
    <row r="89" ht="15.75" customHeight="1">
      <c r="A89" s="118"/>
      <c r="B89" s="119"/>
      <c r="C89" s="120"/>
      <c r="D89" s="11"/>
      <c r="E89" s="11"/>
      <c r="F89" s="11"/>
      <c r="G89" s="11"/>
      <c r="H89" s="11"/>
      <c r="I89" s="11"/>
      <c r="J89" s="11"/>
      <c r="K89" s="11"/>
      <c r="L89" s="11"/>
      <c r="M89" s="11"/>
      <c r="N89" s="11"/>
      <c r="O89" s="11"/>
      <c r="P89" s="11"/>
      <c r="Q89" s="11"/>
      <c r="R89" s="11"/>
      <c r="S89" s="11"/>
      <c r="T89" s="11"/>
      <c r="U89" s="11"/>
      <c r="V89" s="11"/>
      <c r="W89" s="11"/>
      <c r="X89" s="11"/>
      <c r="Y89" s="11"/>
      <c r="Z89" s="12"/>
    </row>
    <row r="90" ht="15.75" customHeight="1">
      <c r="A90" s="118"/>
      <c r="B90" s="119"/>
      <c r="C90" s="120"/>
      <c r="D90" s="11"/>
      <c r="E90" s="11"/>
      <c r="F90" s="11"/>
      <c r="G90" s="11"/>
      <c r="H90" s="11"/>
      <c r="I90" s="11"/>
      <c r="J90" s="11"/>
      <c r="K90" s="11"/>
      <c r="L90" s="11"/>
      <c r="M90" s="11"/>
      <c r="N90" s="11"/>
      <c r="O90" s="11"/>
      <c r="P90" s="11"/>
      <c r="Q90" s="11"/>
      <c r="R90" s="11"/>
      <c r="S90" s="11"/>
      <c r="T90" s="11"/>
      <c r="U90" s="11"/>
      <c r="V90" s="11"/>
      <c r="W90" s="11"/>
      <c r="X90" s="11"/>
      <c r="Y90" s="11"/>
      <c r="Z90" s="12"/>
    </row>
    <row r="91" ht="15.75" customHeight="1">
      <c r="A91" s="118"/>
      <c r="B91" s="119"/>
      <c r="C91" s="120"/>
      <c r="D91" s="11"/>
      <c r="E91" s="11"/>
      <c r="F91" s="11"/>
      <c r="G91" s="11"/>
      <c r="H91" s="11"/>
      <c r="I91" s="11"/>
      <c r="J91" s="11"/>
      <c r="K91" s="11"/>
      <c r="L91" s="11"/>
      <c r="M91" s="11"/>
      <c r="N91" s="11"/>
      <c r="O91" s="11"/>
      <c r="P91" s="11"/>
      <c r="Q91" s="11"/>
      <c r="R91" s="11"/>
      <c r="S91" s="11"/>
      <c r="T91" s="11"/>
      <c r="U91" s="11"/>
      <c r="V91" s="11"/>
      <c r="W91" s="11"/>
      <c r="X91" s="11"/>
      <c r="Y91" s="11"/>
      <c r="Z91" s="12"/>
    </row>
    <row r="92" ht="15.75" customHeight="1">
      <c r="A92" s="118"/>
      <c r="B92" s="119"/>
      <c r="C92" s="120"/>
      <c r="D92" s="11"/>
      <c r="E92" s="11"/>
      <c r="F92" s="11"/>
      <c r="G92" s="11"/>
      <c r="H92" s="11"/>
      <c r="I92" s="11"/>
      <c r="J92" s="11"/>
      <c r="K92" s="11"/>
      <c r="L92" s="11"/>
      <c r="M92" s="11"/>
      <c r="N92" s="11"/>
      <c r="O92" s="11"/>
      <c r="P92" s="11"/>
      <c r="Q92" s="11"/>
      <c r="R92" s="11"/>
      <c r="S92" s="11"/>
      <c r="T92" s="11"/>
      <c r="U92" s="11"/>
      <c r="V92" s="11"/>
      <c r="W92" s="11"/>
      <c r="X92" s="11"/>
      <c r="Y92" s="11"/>
      <c r="Z92" s="12"/>
    </row>
    <row r="93" ht="15.75" customHeight="1">
      <c r="A93" s="118"/>
      <c r="B93" s="119"/>
      <c r="C93" s="120"/>
      <c r="D93" s="11"/>
      <c r="E93" s="11"/>
      <c r="F93" s="11"/>
      <c r="G93" s="11"/>
      <c r="H93" s="11"/>
      <c r="I93" s="11"/>
      <c r="J93" s="11"/>
      <c r="K93" s="11"/>
      <c r="L93" s="11"/>
      <c r="M93" s="11"/>
      <c r="N93" s="11"/>
      <c r="O93" s="11"/>
      <c r="P93" s="11"/>
      <c r="Q93" s="11"/>
      <c r="R93" s="11"/>
      <c r="S93" s="11"/>
      <c r="T93" s="11"/>
      <c r="U93" s="11"/>
      <c r="V93" s="11"/>
      <c r="W93" s="11"/>
      <c r="X93" s="11"/>
      <c r="Y93" s="11"/>
      <c r="Z93" s="12"/>
    </row>
    <row r="94" ht="15.75" customHeight="1">
      <c r="A94" s="118"/>
      <c r="B94" s="119"/>
      <c r="C94" s="120"/>
      <c r="D94" s="11"/>
      <c r="E94" s="11"/>
      <c r="F94" s="11"/>
      <c r="G94" s="11"/>
      <c r="H94" s="11"/>
      <c r="I94" s="11"/>
      <c r="J94" s="11"/>
      <c r="K94" s="11"/>
      <c r="L94" s="11"/>
      <c r="M94" s="11"/>
      <c r="N94" s="11"/>
      <c r="O94" s="11"/>
      <c r="P94" s="11"/>
      <c r="Q94" s="11"/>
      <c r="R94" s="11"/>
      <c r="S94" s="11"/>
      <c r="T94" s="11"/>
      <c r="U94" s="11"/>
      <c r="V94" s="11"/>
      <c r="W94" s="11"/>
      <c r="X94" s="11"/>
      <c r="Y94" s="11"/>
      <c r="Z94" s="12"/>
    </row>
    <row r="95" ht="15.75" customHeight="1">
      <c r="A95" s="118"/>
      <c r="B95" s="119"/>
      <c r="C95" s="120"/>
      <c r="D95" s="11"/>
      <c r="E95" s="11"/>
      <c r="F95" s="11"/>
      <c r="G95" s="11"/>
      <c r="H95" s="11"/>
      <c r="I95" s="11"/>
      <c r="J95" s="11"/>
      <c r="K95" s="11"/>
      <c r="L95" s="11"/>
      <c r="M95" s="11"/>
      <c r="N95" s="11"/>
      <c r="O95" s="11"/>
      <c r="P95" s="11"/>
      <c r="Q95" s="11"/>
      <c r="R95" s="11"/>
      <c r="S95" s="11"/>
      <c r="T95" s="11"/>
      <c r="U95" s="11"/>
      <c r="V95" s="11"/>
      <c r="W95" s="11"/>
      <c r="X95" s="11"/>
      <c r="Y95" s="11"/>
      <c r="Z95" s="12"/>
    </row>
    <row r="96" ht="15.75" customHeight="1">
      <c r="A96" s="118"/>
      <c r="B96" s="119"/>
      <c r="C96" s="120"/>
      <c r="D96" s="11"/>
      <c r="E96" s="11"/>
      <c r="F96" s="11"/>
      <c r="G96" s="11"/>
      <c r="H96" s="11"/>
      <c r="I96" s="11"/>
      <c r="J96" s="11"/>
      <c r="K96" s="11"/>
      <c r="L96" s="11"/>
      <c r="M96" s="11"/>
      <c r="N96" s="11"/>
      <c r="O96" s="11"/>
      <c r="P96" s="11"/>
      <c r="Q96" s="11"/>
      <c r="R96" s="11"/>
      <c r="S96" s="11"/>
      <c r="T96" s="11"/>
      <c r="U96" s="11"/>
      <c r="V96" s="11"/>
      <c r="W96" s="11"/>
      <c r="X96" s="11"/>
      <c r="Y96" s="11"/>
      <c r="Z96" s="12"/>
    </row>
    <row r="97" ht="15.75" customHeight="1">
      <c r="A97" s="118"/>
      <c r="B97" s="119"/>
      <c r="C97" s="120"/>
      <c r="D97" s="11"/>
      <c r="E97" s="11"/>
      <c r="F97" s="11"/>
      <c r="G97" s="11"/>
      <c r="H97" s="11"/>
      <c r="I97" s="11"/>
      <c r="J97" s="11"/>
      <c r="K97" s="11"/>
      <c r="L97" s="11"/>
      <c r="M97" s="11"/>
      <c r="N97" s="11"/>
      <c r="O97" s="11"/>
      <c r="P97" s="11"/>
      <c r="Q97" s="11"/>
      <c r="R97" s="11"/>
      <c r="S97" s="11"/>
      <c r="T97" s="11"/>
      <c r="U97" s="11"/>
      <c r="V97" s="11"/>
      <c r="W97" s="11"/>
      <c r="X97" s="11"/>
      <c r="Y97" s="11"/>
      <c r="Z97" s="12"/>
    </row>
    <row r="98" ht="15.75" customHeight="1">
      <c r="A98" s="118"/>
      <c r="B98" s="119"/>
      <c r="C98" s="120"/>
      <c r="D98" s="11"/>
      <c r="E98" s="11"/>
      <c r="F98" s="11"/>
      <c r="G98" s="11"/>
      <c r="H98" s="11"/>
      <c r="I98" s="11"/>
      <c r="J98" s="11"/>
      <c r="K98" s="11"/>
      <c r="L98" s="11"/>
      <c r="M98" s="11"/>
      <c r="N98" s="11"/>
      <c r="O98" s="11"/>
      <c r="P98" s="11"/>
      <c r="Q98" s="11"/>
      <c r="R98" s="11"/>
      <c r="S98" s="11"/>
      <c r="T98" s="11"/>
      <c r="U98" s="11"/>
      <c r="V98" s="11"/>
      <c r="W98" s="11"/>
      <c r="X98" s="11"/>
      <c r="Y98" s="11"/>
      <c r="Z98" s="12"/>
    </row>
    <row r="99" ht="15.75" customHeight="1">
      <c r="A99" s="118"/>
      <c r="B99" s="119"/>
      <c r="C99" s="120"/>
      <c r="D99" s="11"/>
      <c r="E99" s="11"/>
      <c r="F99" s="11"/>
      <c r="G99" s="11"/>
      <c r="H99" s="11"/>
      <c r="I99" s="11"/>
      <c r="J99" s="11"/>
      <c r="K99" s="11"/>
      <c r="L99" s="11"/>
      <c r="M99" s="11"/>
      <c r="N99" s="11"/>
      <c r="O99" s="11"/>
      <c r="P99" s="11"/>
      <c r="Q99" s="11"/>
      <c r="R99" s="11"/>
      <c r="S99" s="11"/>
      <c r="T99" s="11"/>
      <c r="U99" s="11"/>
      <c r="V99" s="11"/>
      <c r="W99" s="11"/>
      <c r="X99" s="11"/>
      <c r="Y99" s="11"/>
      <c r="Z99" s="12"/>
    </row>
    <row r="100" ht="15.75" customHeight="1">
      <c r="A100" s="118"/>
      <c r="B100" s="119"/>
      <c r="C100" s="120"/>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5.75" customHeight="1">
      <c r="A101" s="118"/>
      <c r="B101" s="119"/>
      <c r="C101" s="120"/>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5.75" customHeight="1">
      <c r="A102" s="118"/>
      <c r="B102" s="119"/>
      <c r="C102" s="120"/>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5.75" customHeight="1">
      <c r="A103" s="118"/>
      <c r="B103" s="119"/>
      <c r="C103" s="120"/>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5.75" customHeight="1">
      <c r="A104" s="118"/>
      <c r="B104" s="119"/>
      <c r="C104" s="120"/>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5.75" customHeight="1">
      <c r="A105" s="118"/>
      <c r="B105" s="119"/>
      <c r="C105" s="120"/>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5.75" customHeight="1">
      <c r="A106" s="118"/>
      <c r="B106" s="119"/>
      <c r="C106" s="120"/>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5.75" customHeight="1">
      <c r="A107" s="118"/>
      <c r="B107" s="119"/>
      <c r="C107" s="120"/>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5.75" customHeight="1">
      <c r="A108" s="118"/>
      <c r="B108" s="119"/>
      <c r="C108" s="120"/>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5.75" customHeight="1">
      <c r="A109" s="118"/>
      <c r="B109" s="119"/>
      <c r="C109" s="120"/>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5.75" customHeight="1">
      <c r="A110" s="118"/>
      <c r="B110" s="119"/>
      <c r="C110" s="120"/>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5.75" customHeight="1">
      <c r="A111" s="118"/>
      <c r="B111" s="119"/>
      <c r="C111" s="120"/>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5.75" customHeight="1">
      <c r="A112" s="118"/>
      <c r="B112" s="119"/>
      <c r="C112" s="120"/>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5.75" customHeight="1">
      <c r="A113" s="118"/>
      <c r="B113" s="119"/>
      <c r="C113" s="120"/>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5.75" customHeight="1">
      <c r="A114" s="118"/>
      <c r="B114" s="119"/>
      <c r="C114" s="120"/>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5.75" customHeight="1">
      <c r="A115" s="118"/>
      <c r="B115" s="119"/>
      <c r="C115" s="120"/>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5.75" customHeight="1">
      <c r="A116" s="118"/>
      <c r="B116" s="119"/>
      <c r="C116" s="120"/>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5.75" customHeight="1">
      <c r="A117" s="118"/>
      <c r="B117" s="119"/>
      <c r="C117" s="120"/>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5.75" customHeight="1">
      <c r="A118" s="118"/>
      <c r="B118" s="119"/>
      <c r="C118" s="120"/>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5.75" customHeight="1">
      <c r="A119" s="118"/>
      <c r="B119" s="119"/>
      <c r="C119" s="120"/>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5.75" customHeight="1">
      <c r="A120" s="118"/>
      <c r="B120" s="119"/>
      <c r="C120" s="120"/>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5.75" customHeight="1">
      <c r="A121" s="118"/>
      <c r="B121" s="119"/>
      <c r="C121" s="120"/>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5.75" customHeight="1">
      <c r="A122" s="118"/>
      <c r="B122" s="119"/>
      <c r="C122" s="120"/>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5.75" customHeight="1">
      <c r="A123" s="118"/>
      <c r="B123" s="119"/>
      <c r="C123" s="120"/>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5.75" customHeight="1">
      <c r="A124" s="118"/>
      <c r="B124" s="119"/>
      <c r="C124" s="120"/>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5.75" customHeight="1">
      <c r="A125" s="118"/>
      <c r="B125" s="119"/>
      <c r="C125" s="120"/>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5.75" customHeight="1">
      <c r="A126" s="118"/>
      <c r="B126" s="119"/>
      <c r="C126" s="120"/>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5.75" customHeight="1">
      <c r="A127" s="118"/>
      <c r="B127" s="119"/>
      <c r="C127" s="120"/>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5.75" customHeight="1">
      <c r="A128" s="118"/>
      <c r="B128" s="119"/>
      <c r="C128" s="120"/>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5.75" customHeight="1">
      <c r="A129" s="118"/>
      <c r="B129" s="119"/>
      <c r="C129" s="120"/>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5.75" customHeight="1">
      <c r="A130" s="118"/>
      <c r="B130" s="119"/>
      <c r="C130" s="120"/>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5.75" customHeight="1">
      <c r="A131" s="118"/>
      <c r="B131" s="119"/>
      <c r="C131" s="120"/>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5.75" customHeight="1">
      <c r="A132" s="118"/>
      <c r="B132" s="119"/>
      <c r="C132" s="120"/>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5.75" customHeight="1">
      <c r="A133" s="118"/>
      <c r="B133" s="119"/>
      <c r="C133" s="120"/>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5.75" customHeight="1">
      <c r="A134" s="118"/>
      <c r="B134" s="119"/>
      <c r="C134" s="120"/>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5.75" customHeight="1">
      <c r="A135" s="118"/>
      <c r="B135" s="119"/>
      <c r="C135" s="120"/>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5.75" customHeight="1">
      <c r="A136" s="118"/>
      <c r="B136" s="119"/>
      <c r="C136" s="120"/>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5.75" customHeight="1">
      <c r="A137" s="118"/>
      <c r="B137" s="119"/>
      <c r="C137" s="120"/>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5.75" customHeight="1">
      <c r="A138" s="118"/>
      <c r="B138" s="119"/>
      <c r="C138" s="120"/>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5.75" customHeight="1">
      <c r="A139" s="118"/>
      <c r="B139" s="119"/>
      <c r="C139" s="120"/>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5.75" customHeight="1">
      <c r="A140" s="118"/>
      <c r="B140" s="119"/>
      <c r="C140" s="120"/>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5.75" customHeight="1">
      <c r="A141" s="118"/>
      <c r="B141" s="119"/>
      <c r="C141" s="120"/>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5.75" customHeight="1">
      <c r="A142" s="118"/>
      <c r="B142" s="119"/>
      <c r="C142" s="120"/>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5.75" customHeight="1">
      <c r="A143" s="118"/>
      <c r="B143" s="119"/>
      <c r="C143" s="120"/>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5.75" customHeight="1">
      <c r="A144" s="118"/>
      <c r="B144" s="119"/>
      <c r="C144" s="120"/>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5.75" customHeight="1">
      <c r="A145" s="118"/>
      <c r="B145" s="119"/>
      <c r="C145" s="120"/>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5.75" customHeight="1">
      <c r="A146" s="118"/>
      <c r="B146" s="119"/>
      <c r="C146" s="120"/>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5.75" customHeight="1">
      <c r="A147" s="118"/>
      <c r="B147" s="119"/>
      <c r="C147" s="120"/>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5.75" customHeight="1">
      <c r="A148" s="118"/>
      <c r="B148" s="119"/>
      <c r="C148" s="120"/>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5.75" customHeight="1">
      <c r="A149" s="118"/>
      <c r="B149" s="119"/>
      <c r="C149" s="120"/>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5.75" customHeight="1">
      <c r="A150" s="118"/>
      <c r="B150" s="119"/>
      <c r="C150" s="120"/>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5.75" customHeight="1">
      <c r="A151" s="118"/>
      <c r="B151" s="119"/>
      <c r="C151" s="120"/>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5.75" customHeight="1">
      <c r="A152" s="118"/>
      <c r="B152" s="119"/>
      <c r="C152" s="120"/>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5.75" customHeight="1">
      <c r="A153" s="118"/>
      <c r="B153" s="119"/>
      <c r="C153" s="120"/>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5.75" customHeight="1">
      <c r="A154" s="118"/>
      <c r="B154" s="119"/>
      <c r="C154" s="120"/>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5.75" customHeight="1">
      <c r="A155" s="118"/>
      <c r="B155" s="119"/>
      <c r="C155" s="120"/>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5.75" customHeight="1">
      <c r="A156" s="118"/>
      <c r="B156" s="119"/>
      <c r="C156" s="120"/>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5.75" customHeight="1">
      <c r="A157" s="118"/>
      <c r="B157" s="119"/>
      <c r="C157" s="120"/>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5.75" customHeight="1">
      <c r="A158" s="118"/>
      <c r="B158" s="119"/>
      <c r="C158" s="120"/>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5.75" customHeight="1">
      <c r="A159" s="118"/>
      <c r="B159" s="119"/>
      <c r="C159" s="120"/>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5.75" customHeight="1">
      <c r="A160" s="118"/>
      <c r="B160" s="119"/>
      <c r="C160" s="120"/>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5.75" customHeight="1">
      <c r="A161" s="118"/>
      <c r="B161" s="119"/>
      <c r="C161" s="120"/>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5.75" customHeight="1">
      <c r="A162" s="118"/>
      <c r="B162" s="119"/>
      <c r="C162" s="120"/>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5.75" customHeight="1">
      <c r="A163" s="118"/>
      <c r="B163" s="119"/>
      <c r="C163" s="120"/>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5.75" customHeight="1">
      <c r="A164" s="118"/>
      <c r="B164" s="119"/>
      <c r="C164" s="120"/>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5.75" customHeight="1">
      <c r="A165" s="118"/>
      <c r="B165" s="119"/>
      <c r="C165" s="120"/>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5.75" customHeight="1">
      <c r="A166" s="118"/>
      <c r="B166" s="119"/>
      <c r="C166" s="120"/>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5.75" customHeight="1">
      <c r="A167" s="118"/>
      <c r="B167" s="119"/>
      <c r="C167" s="120"/>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5.75" customHeight="1">
      <c r="A168" s="118"/>
      <c r="B168" s="119"/>
      <c r="C168" s="120"/>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5.75" customHeight="1">
      <c r="A169" s="118"/>
      <c r="B169" s="119"/>
      <c r="C169" s="120"/>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5.75" customHeight="1">
      <c r="A170" s="118"/>
      <c r="B170" s="119"/>
      <c r="C170" s="120"/>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5.75" customHeight="1">
      <c r="A171" s="118"/>
      <c r="B171" s="119"/>
      <c r="C171" s="120"/>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5.75" customHeight="1">
      <c r="A172" s="118"/>
      <c r="B172" s="119"/>
      <c r="C172" s="120"/>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5.75" customHeight="1">
      <c r="A173" s="118"/>
      <c r="B173" s="119"/>
      <c r="C173" s="120"/>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5.75" customHeight="1">
      <c r="A174" s="118"/>
      <c r="B174" s="119"/>
      <c r="C174" s="120"/>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5.75" customHeight="1">
      <c r="A175" s="118"/>
      <c r="B175" s="119"/>
      <c r="C175" s="120"/>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5.75" customHeight="1">
      <c r="A176" s="118"/>
      <c r="B176" s="119"/>
      <c r="C176" s="120"/>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5.75" customHeight="1">
      <c r="A177" s="118"/>
      <c r="B177" s="119"/>
      <c r="C177" s="120"/>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5.75" customHeight="1">
      <c r="A178" s="118"/>
      <c r="B178" s="119"/>
      <c r="C178" s="120"/>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5.75" customHeight="1">
      <c r="A179" s="118"/>
      <c r="B179" s="119"/>
      <c r="C179" s="120"/>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5.75" customHeight="1">
      <c r="A180" s="118"/>
      <c r="B180" s="119"/>
      <c r="C180" s="120"/>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5.75" customHeight="1">
      <c r="A181" s="118"/>
      <c r="B181" s="119"/>
      <c r="C181" s="120"/>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5.75" customHeight="1">
      <c r="A182" s="118"/>
      <c r="B182" s="119"/>
      <c r="C182" s="120"/>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5.75" customHeight="1">
      <c r="A183" s="118"/>
      <c r="B183" s="119"/>
      <c r="C183" s="120"/>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5.75" customHeight="1">
      <c r="A184" s="118"/>
      <c r="B184" s="119"/>
      <c r="C184" s="120"/>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5.75" customHeight="1">
      <c r="A185" s="118"/>
      <c r="B185" s="119"/>
      <c r="C185" s="120"/>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5.75" customHeight="1">
      <c r="A186" s="118"/>
      <c r="B186" s="119"/>
      <c r="C186" s="120"/>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5.75" customHeight="1">
      <c r="A187" s="118"/>
      <c r="B187" s="119"/>
      <c r="C187" s="120"/>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5.75" customHeight="1">
      <c r="A188" s="118"/>
      <c r="B188" s="119"/>
      <c r="C188" s="120"/>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5.75" customHeight="1">
      <c r="A189" s="118"/>
      <c r="B189" s="119"/>
      <c r="C189" s="120"/>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5.75" customHeight="1">
      <c r="A190" s="118"/>
      <c r="B190" s="119"/>
      <c r="C190" s="120"/>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5.75" customHeight="1">
      <c r="A191" s="118"/>
      <c r="B191" s="119"/>
      <c r="C191" s="120"/>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5.75" customHeight="1">
      <c r="A192" s="118"/>
      <c r="B192" s="119"/>
      <c r="C192" s="120"/>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5.75" customHeight="1">
      <c r="A193" s="118"/>
      <c r="B193" s="119"/>
      <c r="C193" s="120"/>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5.75" customHeight="1">
      <c r="A194" s="118"/>
      <c r="B194" s="119"/>
      <c r="C194" s="120"/>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5.75" customHeight="1">
      <c r="A195" s="118"/>
      <c r="B195" s="119"/>
      <c r="C195" s="120"/>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5.75" customHeight="1">
      <c r="A196" s="118"/>
      <c r="B196" s="119"/>
      <c r="C196" s="120"/>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5.75" customHeight="1">
      <c r="A197" s="118"/>
      <c r="B197" s="119"/>
      <c r="C197" s="120"/>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5.75" customHeight="1">
      <c r="A198" s="118"/>
      <c r="B198" s="119"/>
      <c r="C198" s="120"/>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5.75" customHeight="1">
      <c r="A199" s="118"/>
      <c r="B199" s="119"/>
      <c r="C199" s="120"/>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5.75" customHeight="1">
      <c r="A200" s="118"/>
      <c r="B200" s="119"/>
      <c r="C200" s="120"/>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5.75" customHeight="1">
      <c r="A201" s="118"/>
      <c r="B201" s="119"/>
      <c r="C201" s="120"/>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5.75" customHeight="1">
      <c r="A202" s="118"/>
      <c r="B202" s="119"/>
      <c r="C202" s="120"/>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5.75" customHeight="1">
      <c r="A203" s="118"/>
      <c r="B203" s="119"/>
      <c r="C203" s="120"/>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5.75" customHeight="1">
      <c r="A204" s="118"/>
      <c r="B204" s="119"/>
      <c r="C204" s="120"/>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5.75" customHeight="1">
      <c r="A205" s="118"/>
      <c r="B205" s="119"/>
      <c r="C205" s="120"/>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5.75" customHeight="1">
      <c r="A206" s="118"/>
      <c r="B206" s="119"/>
      <c r="C206" s="120"/>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5.75" customHeight="1">
      <c r="A207" s="118"/>
      <c r="B207" s="119"/>
      <c r="C207" s="120"/>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5.75" customHeight="1">
      <c r="A208" s="118"/>
      <c r="B208" s="119"/>
      <c r="C208" s="120"/>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5.75" customHeight="1">
      <c r="A209" s="118"/>
      <c r="B209" s="119"/>
      <c r="C209" s="120"/>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5.75" customHeight="1">
      <c r="A210" s="118"/>
      <c r="B210" s="119"/>
      <c r="C210" s="120"/>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5.75" customHeight="1">
      <c r="A211" s="118"/>
      <c r="B211" s="119"/>
      <c r="C211" s="120"/>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5.75" customHeight="1">
      <c r="A212" s="118"/>
      <c r="B212" s="119"/>
      <c r="C212" s="120"/>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5.75" customHeight="1">
      <c r="A213" s="118"/>
      <c r="B213" s="119"/>
      <c r="C213" s="120"/>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5.75" customHeight="1">
      <c r="A214" s="118"/>
      <c r="B214" s="119"/>
      <c r="C214" s="120"/>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5.75" customHeight="1">
      <c r="A215" s="118"/>
      <c r="B215" s="119"/>
      <c r="C215" s="120"/>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5.75" customHeight="1">
      <c r="A216" s="118"/>
      <c r="B216" s="119"/>
      <c r="C216" s="120"/>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5.75" customHeight="1">
      <c r="A217" s="118"/>
      <c r="B217" s="119"/>
      <c r="C217" s="120"/>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5.75" customHeight="1">
      <c r="A218" s="118"/>
      <c r="B218" s="119"/>
      <c r="C218" s="120"/>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5.75" customHeight="1">
      <c r="A219" s="118"/>
      <c r="B219" s="119"/>
      <c r="C219" s="120"/>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5.75" customHeight="1">
      <c r="A220" s="118"/>
      <c r="B220" s="119"/>
      <c r="C220" s="120"/>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5.75" customHeight="1">
      <c r="A221" s="118"/>
      <c r="B221" s="119"/>
      <c r="C221" s="120"/>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5.75" customHeight="1">
      <c r="A222" s="118"/>
      <c r="B222" s="119"/>
      <c r="C222" s="120"/>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5.75" customHeight="1">
      <c r="A223" s="118"/>
      <c r="B223" s="119"/>
      <c r="C223" s="120"/>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5.75" customHeight="1">
      <c r="A224" s="118"/>
      <c r="B224" s="119"/>
      <c r="C224" s="120"/>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5.75" customHeight="1">
      <c r="A225" s="118"/>
      <c r="B225" s="119"/>
      <c r="C225" s="120"/>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5.75" customHeight="1">
      <c r="A226" s="118"/>
      <c r="B226" s="119"/>
      <c r="C226" s="120"/>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5.75" customHeight="1">
      <c r="A227" s="118"/>
      <c r="B227" s="119"/>
      <c r="C227" s="120"/>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5.75" customHeight="1">
      <c r="A228" s="118"/>
      <c r="B228" s="119"/>
      <c r="C228" s="120"/>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5.75" customHeight="1">
      <c r="A229" s="118"/>
      <c r="B229" s="119"/>
      <c r="C229" s="120"/>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5.75" customHeight="1">
      <c r="A230" s="118"/>
      <c r="B230" s="119"/>
      <c r="C230" s="120"/>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5.75" customHeight="1">
      <c r="A231" s="118"/>
      <c r="B231" s="119"/>
      <c r="C231" s="120"/>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5.75" customHeight="1">
      <c r="A232" s="118"/>
      <c r="B232" s="119"/>
      <c r="C232" s="120"/>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5.75" customHeight="1">
      <c r="A233" s="118"/>
      <c r="B233" s="119"/>
      <c r="C233" s="120"/>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5.75" customHeight="1">
      <c r="A234" s="118"/>
      <c r="B234" s="119"/>
      <c r="C234" s="120"/>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5.75" customHeight="1">
      <c r="A235" s="118"/>
      <c r="B235" s="119"/>
      <c r="C235" s="120"/>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5.75" customHeight="1">
      <c r="A236" s="118"/>
      <c r="B236" s="119"/>
      <c r="C236" s="120"/>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5.75" customHeight="1">
      <c r="A237" s="118"/>
      <c r="B237" s="119"/>
      <c r="C237" s="120"/>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5.75" customHeight="1">
      <c r="A238" s="118"/>
      <c r="B238" s="119"/>
      <c r="C238" s="120"/>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5.75" customHeight="1">
      <c r="A239" s="118"/>
      <c r="B239" s="119"/>
      <c r="C239" s="120"/>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5.75" customHeight="1">
      <c r="A240" s="118"/>
      <c r="B240" s="119"/>
      <c r="C240" s="120"/>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5.75" customHeight="1">
      <c r="A241" s="118"/>
      <c r="B241" s="119"/>
      <c r="C241" s="120"/>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5.75" customHeight="1">
      <c r="A242" s="118"/>
      <c r="B242" s="119"/>
      <c r="C242" s="120"/>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5.75" customHeight="1">
      <c r="A243" s="118"/>
      <c r="B243" s="119"/>
      <c r="C243" s="120"/>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5.75" customHeight="1">
      <c r="A244" s="118"/>
      <c r="B244" s="119"/>
      <c r="C244" s="120"/>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5.75" customHeight="1">
      <c r="A245" s="118"/>
      <c r="B245" s="119"/>
      <c r="C245" s="120"/>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5.75" customHeight="1">
      <c r="A246" s="118"/>
      <c r="B246" s="119"/>
      <c r="C246" s="120"/>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5.75" customHeight="1">
      <c r="A247" s="118"/>
      <c r="B247" s="119"/>
      <c r="C247" s="120"/>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5.75" customHeight="1">
      <c r="A248" s="118"/>
      <c r="B248" s="119"/>
      <c r="C248" s="120"/>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5.75" customHeight="1">
      <c r="A249" s="118"/>
      <c r="B249" s="119"/>
      <c r="C249" s="120"/>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5.75" customHeight="1">
      <c r="A250" s="118"/>
      <c r="B250" s="119"/>
      <c r="C250" s="120"/>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5.75" customHeight="1">
      <c r="A251" s="118"/>
      <c r="B251" s="119"/>
      <c r="C251" s="120"/>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5.75" customHeight="1">
      <c r="A252" s="118"/>
      <c r="B252" s="119"/>
      <c r="C252" s="120"/>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5.75" customHeight="1">
      <c r="A253" s="118"/>
      <c r="B253" s="119"/>
      <c r="C253" s="120"/>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5.75" customHeight="1">
      <c r="A254" s="118"/>
      <c r="B254" s="119"/>
      <c r="C254" s="120"/>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5.75" customHeight="1">
      <c r="A255" s="118"/>
      <c r="B255" s="119"/>
      <c r="C255" s="120"/>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5.75" customHeight="1">
      <c r="A256" s="118"/>
      <c r="B256" s="119"/>
      <c r="C256" s="120"/>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5.75" customHeight="1">
      <c r="A257" s="118"/>
      <c r="B257" s="119"/>
      <c r="C257" s="120"/>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5.75" customHeight="1">
      <c r="A258" s="118"/>
      <c r="B258" s="119"/>
      <c r="C258" s="120"/>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5.75" customHeight="1">
      <c r="A259" s="118"/>
      <c r="B259" s="119"/>
      <c r="C259" s="120"/>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5.75" customHeight="1">
      <c r="A260" s="118"/>
      <c r="B260" s="119"/>
      <c r="C260" s="120"/>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5.75" customHeight="1">
      <c r="A261" s="118"/>
      <c r="B261" s="119"/>
      <c r="C261" s="120"/>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5.75" customHeight="1">
      <c r="A262" s="118"/>
      <c r="B262" s="119"/>
      <c r="C262" s="120"/>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5.75" customHeight="1">
      <c r="A263" s="121"/>
      <c r="B263" s="122"/>
      <c r="C263" s="123"/>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
    </row>
    <row r="264" ht="15.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row>
    <row r="265" ht="15.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row>
    <row r="266" ht="15.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row>
    <row r="267" ht="15.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row>
    <row r="268" ht="15.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row>
    <row r="269" ht="15.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row>
    <row r="270" ht="15.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row>
    <row r="271" ht="15.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row>
    <row r="272" ht="15.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row>
    <row r="273" ht="15.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row>
    <row r="274" ht="15.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row>
    <row r="275" ht="15.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row>
    <row r="276" ht="15.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row>
    <row r="277" ht="15.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row>
    <row r="278" ht="15.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row>
    <row r="279" ht="15.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row>
    <row r="280" ht="15.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row>
    <row r="281" ht="15.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row>
    <row r="282" ht="15.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row>
    <row r="283" ht="15.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row>
    <row r="284" ht="15.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row>
    <row r="285" ht="15.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row>
    <row r="286" ht="15.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row>
    <row r="287" ht="15.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row>
    <row r="288" ht="15.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row>
    <row r="289" ht="15.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row>
    <row r="290" ht="15.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row>
    <row r="291" ht="15.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row>
    <row r="292" ht="15.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row>
    <row r="293" ht="15.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row>
    <row r="294" ht="15.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row>
    <row r="295" ht="15.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row>
    <row r="296" ht="15.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row>
    <row r="297" ht="15.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row>
    <row r="298" ht="15.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row>
    <row r="299" ht="15.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row>
    <row r="300" ht="15.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row>
    <row r="301" ht="15.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row>
    <row r="302" ht="15.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row>
    <row r="303" ht="15.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row>
    <row r="304" ht="15.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row>
    <row r="305" ht="15.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row>
    <row r="306" ht="15.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row>
    <row r="307" ht="15.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row>
    <row r="308" ht="15.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row>
    <row r="309" ht="15.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row>
    <row r="310" ht="15.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row>
    <row r="311" ht="15.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row>
    <row r="312" ht="15.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row>
    <row r="313" ht="15.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row>
    <row r="314" ht="15.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row>
    <row r="315" ht="15.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row>
    <row r="316" ht="15.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row>
    <row r="317" ht="15.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row>
    <row r="318" ht="15.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row>
    <row r="319" ht="15.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row>
    <row r="320" ht="15.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row>
    <row r="321" ht="15.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row>
    <row r="322" ht="15.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row>
    <row r="323" ht="15.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row>
    <row r="324" ht="15.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row>
    <row r="325" ht="15.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row>
    <row r="326" ht="15.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row>
    <row r="327" ht="15.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row>
    <row r="328" ht="15.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row>
    <row r="329" ht="15.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row>
    <row r="330" ht="15.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row>
    <row r="331" ht="15.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row>
    <row r="332" ht="15.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row>
    <row r="333" ht="15.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row>
    <row r="334" ht="15.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row>
    <row r="335" ht="15.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row>
    <row r="336" ht="15.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row>
    <row r="337" ht="15.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row>
    <row r="338" ht="15.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row>
    <row r="339" ht="15.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row>
    <row r="340" ht="15.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row>
    <row r="341" ht="15.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row>
    <row r="342" ht="15.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row>
    <row r="343" ht="15.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row>
    <row r="344" ht="15.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row>
    <row r="345" ht="15.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row>
    <row r="346" ht="15.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row>
    <row r="347" ht="15.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row>
    <row r="348" ht="15.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row>
    <row r="349" ht="15.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row>
    <row r="350" ht="15.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row>
    <row r="351" ht="15.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row>
    <row r="352" ht="15.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row>
    <row r="353" ht="15.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row>
    <row r="354" ht="15.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row>
    <row r="355" ht="15.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row>
    <row r="356" ht="15.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row>
    <row r="357" ht="15.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row>
    <row r="358" ht="15.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row>
    <row r="359" ht="15.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row>
    <row r="360" ht="15.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row>
    <row r="361" ht="15.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row>
    <row r="362" ht="15.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row>
    <row r="363" ht="15.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row>
    <row r="364" ht="15.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row>
    <row r="365" ht="15.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row>
    <row r="366" ht="15.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row>
    <row r="367" ht="15.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row>
    <row r="368" ht="15.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row>
    <row r="369" ht="15.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row>
    <row r="370" ht="15.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row>
    <row r="371" ht="15.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row>
    <row r="372" ht="15.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row>
    <row r="373" ht="15.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row>
    <row r="374" ht="15.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row>
    <row r="375" ht="15.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row>
    <row r="376" ht="15.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row>
    <row r="377" ht="15.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row>
    <row r="378" ht="15.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row>
    <row r="379" ht="15.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row>
    <row r="380" ht="15.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row>
    <row r="381" ht="15.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row>
    <row r="382" ht="15.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row>
    <row r="383" ht="15.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row>
    <row r="384" ht="15.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row>
    <row r="385" ht="15.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row>
    <row r="386" ht="15.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row>
    <row r="387" ht="15.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row>
    <row r="388" ht="15.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row>
    <row r="389" ht="15.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row>
    <row r="390" ht="15.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row>
    <row r="391" ht="15.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row>
    <row r="392" ht="15.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row>
    <row r="393" ht="15.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row>
    <row r="394" ht="15.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row>
    <row r="395" ht="15.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row>
    <row r="396" ht="15.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row>
    <row r="397" ht="15.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row>
    <row r="398" ht="15.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row>
    <row r="399" ht="15.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row>
    <row r="400" ht="15.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row>
    <row r="401" ht="15.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row>
    <row r="402" ht="15.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row>
    <row r="403" ht="15.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row>
    <row r="404" ht="15.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row>
    <row r="405" ht="15.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row>
    <row r="406" ht="15.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row>
    <row r="407" ht="15.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row>
    <row r="408" ht="15.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row>
    <row r="409" ht="15.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row>
    <row r="410" ht="15.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row>
    <row r="411" ht="15.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row>
    <row r="412" ht="15.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row>
    <row r="413" ht="15.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row>
    <row r="414" ht="15.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row>
    <row r="415" ht="15.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row>
    <row r="416" ht="15.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row>
    <row r="417" ht="15.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row>
    <row r="418" ht="15.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row>
    <row r="419" ht="15.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row>
    <row r="420" ht="15.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row>
    <row r="421" ht="15.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row>
    <row r="422" ht="15.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row>
    <row r="423" ht="15.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row>
    <row r="424" ht="15.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row>
    <row r="425" ht="15.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row>
    <row r="426" ht="15.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row>
    <row r="427" ht="15.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row>
    <row r="428" ht="15.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row>
    <row r="429" ht="15.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row>
    <row r="430" ht="15.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row>
    <row r="431" ht="15.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row>
    <row r="432" ht="15.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row>
    <row r="433" ht="15.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row>
    <row r="434" ht="15.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row>
    <row r="435" ht="15.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row>
    <row r="436" ht="15.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row>
    <row r="437" ht="15.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row>
    <row r="438" ht="15.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row>
    <row r="439" ht="15.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row>
    <row r="440" ht="15.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row>
    <row r="441" ht="15.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row>
    <row r="442" ht="15.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row>
    <row r="443" ht="15.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row>
    <row r="444" ht="15.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row>
    <row r="445" ht="15.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row>
    <row r="446" ht="15.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row>
    <row r="447" ht="15.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row>
    <row r="448" ht="15.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row>
    <row r="449" ht="15.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row>
    <row r="450" ht="15.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row>
    <row r="451" ht="15.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row>
    <row r="452" ht="15.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row>
    <row r="453" ht="15.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row>
    <row r="454" ht="15.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row>
    <row r="455" ht="15.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row>
    <row r="456" ht="15.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row>
    <row r="457" ht="15.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row>
    <row r="458" ht="15.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row>
    <row r="459" ht="15.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row>
    <row r="460" ht="15.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row>
    <row r="461" ht="15.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row>
    <row r="462" ht="15.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row>
    <row r="463" ht="15.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row>
    <row r="464" ht="15.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row>
    <row r="465" ht="15.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row>
    <row r="466" ht="15.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row>
    <row r="467" ht="15.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row>
    <row r="468" ht="15.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row>
    <row r="469" ht="15.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row>
    <row r="470" ht="15.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row>
    <row r="471" ht="15.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row>
    <row r="472" ht="15.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row>
    <row r="473" ht="15.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row>
    <row r="474" ht="15.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row>
    <row r="475" ht="15.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row>
    <row r="476" ht="15.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row>
    <row r="477" ht="15.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row>
    <row r="478" ht="15.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row>
    <row r="479" ht="15.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row>
    <row r="480" ht="15.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row>
    <row r="481" ht="15.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row>
    <row r="482" ht="15.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row>
    <row r="483" ht="15.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row>
    <row r="484" ht="15.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row>
    <row r="485" ht="15.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row>
    <row r="486" ht="15.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row>
    <row r="487" ht="15.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row>
    <row r="488" ht="15.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row>
    <row r="489" ht="15.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row>
    <row r="490" ht="15.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row>
    <row r="491" ht="15.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row>
    <row r="492" ht="15.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row>
    <row r="493" ht="15.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row>
    <row r="494" ht="15.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row>
    <row r="495" ht="15.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row>
    <row r="496" ht="15.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row>
    <row r="497" ht="15.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row>
    <row r="498" ht="15.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row>
    <row r="499" ht="15.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row>
    <row r="500" ht="15.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row>
    <row r="501" ht="15.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row>
    <row r="502" ht="15.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row>
    <row r="503" ht="15.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row>
    <row r="504" ht="15.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row>
    <row r="505" ht="15.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row>
    <row r="506" ht="15.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row>
    <row r="507" ht="15.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row>
    <row r="508" ht="15.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row>
    <row r="509" ht="15.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row>
    <row r="510" ht="15.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row>
    <row r="511" ht="15.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row>
    <row r="512" ht="15.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row>
    <row r="513" ht="15.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row>
    <row r="514" ht="15.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row>
    <row r="515" ht="15.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row>
    <row r="516" ht="15.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row>
    <row r="517" ht="15.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row>
    <row r="518" ht="15.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row>
    <row r="519" ht="15.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row>
    <row r="520" ht="15.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row>
    <row r="521" ht="15.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row>
    <row r="522" ht="15.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row>
    <row r="523" ht="15.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row>
    <row r="524" ht="15.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row>
    <row r="525" ht="15.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row>
    <row r="526" ht="15.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row>
    <row r="527" ht="15.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row>
    <row r="528" ht="15.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row>
    <row r="529" ht="15.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row>
    <row r="530" ht="15.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row>
    <row r="531" ht="15.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row>
    <row r="532" ht="15.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row>
    <row r="533" ht="15.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row>
    <row r="534" ht="15.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row>
    <row r="535" ht="15.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row>
    <row r="536" ht="15.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row>
    <row r="537" ht="15.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row>
    <row r="538" ht="15.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row>
    <row r="539" ht="15.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row>
    <row r="540" ht="15.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row>
    <row r="541" ht="15.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row>
    <row r="542" ht="15.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row>
    <row r="543" ht="15.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row>
    <row r="544" ht="15.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row>
    <row r="545" ht="15.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row>
    <row r="546" ht="15.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row>
    <row r="547" ht="15.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row>
    <row r="548" ht="15.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row>
    <row r="549" ht="15.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row>
    <row r="550" ht="15.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row>
    <row r="551" ht="15.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row>
    <row r="552" ht="15.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row>
    <row r="553" ht="15.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row>
    <row r="554" ht="15.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row>
    <row r="555" ht="15.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row>
    <row r="556" ht="15.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row>
    <row r="557" ht="15.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row>
    <row r="558" ht="15.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row>
    <row r="559" ht="15.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row>
    <row r="560" ht="15.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row>
    <row r="561" ht="15.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row>
    <row r="562" ht="15.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row>
    <row r="563" ht="15.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row>
    <row r="564" ht="15.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row>
    <row r="565" ht="15.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row>
    <row r="566" ht="15.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row>
    <row r="567" ht="15.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row>
    <row r="568" ht="15.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row>
    <row r="569" ht="15.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row>
    <row r="570" ht="15.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row>
    <row r="571" ht="15.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row>
    <row r="572" ht="15.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row>
    <row r="573" ht="15.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row>
    <row r="574" ht="15.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row>
    <row r="575" ht="15.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row>
    <row r="576" ht="15.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row>
    <row r="577" ht="15.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row>
    <row r="578" ht="15.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row>
    <row r="579" ht="15.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row>
    <row r="580" ht="15.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row>
    <row r="581" ht="15.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row>
    <row r="582" ht="15.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row>
    <row r="583" ht="15.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row>
    <row r="584" ht="15.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row>
    <row r="585" ht="15.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row>
    <row r="586" ht="15.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row>
    <row r="587" ht="15.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row>
    <row r="588" ht="15.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row>
    <row r="589" ht="15.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row>
    <row r="590" ht="15.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row>
    <row r="591" ht="15.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row>
    <row r="592" ht="15.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row>
    <row r="593" ht="15.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row>
    <row r="594" ht="15.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row>
    <row r="595" ht="15.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row>
    <row r="596" ht="15.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row>
    <row r="597" ht="15.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row>
    <row r="598" ht="15.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row>
    <row r="599" ht="15.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row>
    <row r="600" ht="15.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row>
    <row r="601" ht="15.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row>
    <row r="602" ht="15.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row>
    <row r="603" ht="15.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row>
    <row r="604" ht="15.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row>
    <row r="605" ht="15.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row>
    <row r="606" ht="15.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row>
    <row r="607" ht="15.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row>
    <row r="608" ht="15.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row>
    <row r="609" ht="15.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row>
    <row r="610" ht="15.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row>
    <row r="611" ht="15.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row>
    <row r="612" ht="15.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row>
    <row r="613" ht="15.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row>
    <row r="614" ht="15.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row>
    <row r="615" ht="15.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row>
    <row r="616" ht="15.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row>
    <row r="617" ht="15.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row>
    <row r="618" ht="15.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row>
    <row r="619" ht="15.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row>
    <row r="620" ht="15.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row>
    <row r="621" ht="15.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row>
    <row r="622" ht="15.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row>
    <row r="623" ht="15.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row>
    <row r="624" ht="15.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row>
    <row r="625" ht="15.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row>
    <row r="626" ht="15.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row>
    <row r="627" ht="15.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row>
    <row r="628" ht="15.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row>
    <row r="629" ht="15.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row>
    <row r="630" ht="15.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row>
    <row r="631" ht="15.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row>
    <row r="632" ht="15.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row>
    <row r="633" ht="15.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row>
    <row r="634" ht="15.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row>
    <row r="635" ht="15.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row>
    <row r="636" ht="15.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row>
    <row r="637" ht="15.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row>
    <row r="638" ht="15.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row>
    <row r="639" ht="15.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row>
    <row r="640" ht="15.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row>
    <row r="641" ht="15.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row>
    <row r="642" ht="15.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row>
    <row r="643" ht="15.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row>
    <row r="644" ht="15.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row>
    <row r="645" ht="15.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row>
    <row r="646" ht="15.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row>
    <row r="647" ht="15.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row>
    <row r="648" ht="15.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row>
    <row r="649" ht="15.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row>
    <row r="650" ht="15.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row>
    <row r="651" ht="15.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row>
    <row r="652" ht="15.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row>
    <row r="653" ht="15.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row>
    <row r="654" ht="15.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row>
    <row r="655" ht="15.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row>
    <row r="656" ht="15.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row>
    <row r="657" ht="15.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row>
    <row r="658" ht="15.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row>
    <row r="659" ht="15.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row>
    <row r="660" ht="15.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row>
    <row r="661" ht="15.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row>
    <row r="662" ht="15.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row>
    <row r="663" ht="15.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row>
    <row r="664" ht="15.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row>
    <row r="665" ht="15.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row>
    <row r="666" ht="15.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row>
    <row r="667" ht="15.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row>
    <row r="668" ht="15.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row>
    <row r="669" ht="15.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row>
    <row r="670" ht="15.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row>
    <row r="671" ht="15.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row>
    <row r="672" ht="15.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row>
    <row r="673" ht="15.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row>
    <row r="674" ht="15.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row>
    <row r="675" ht="15.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row>
    <row r="676" ht="15.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row>
    <row r="677" ht="15.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row>
    <row r="678" ht="15.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row>
    <row r="679" ht="15.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row>
    <row r="680" ht="15.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row>
    <row r="681" ht="15.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row>
    <row r="682" ht="15.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row>
    <row r="683" ht="15.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row>
    <row r="684" ht="15.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row>
    <row r="685" ht="15.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row>
    <row r="686" ht="15.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row>
    <row r="687" ht="15.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row>
    <row r="688" ht="15.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row>
    <row r="689" ht="15.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row>
    <row r="690" ht="15.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row>
    <row r="691" ht="15.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row>
    <row r="692" ht="15.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row>
    <row r="693" ht="15.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row>
    <row r="694" ht="15.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row>
    <row r="695" ht="15.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row>
    <row r="696" ht="15.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row>
    <row r="697" ht="15.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row>
    <row r="698" ht="15.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row>
    <row r="699" ht="15.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row>
    <row r="700" ht="15.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row>
    <row r="701" ht="15.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row>
    <row r="702" ht="15.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row>
    <row r="703" ht="15.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row>
    <row r="704" ht="15.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row>
    <row r="705" ht="15.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row>
    <row r="706" ht="15.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row>
    <row r="707" ht="15.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row>
    <row r="708" ht="15.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row>
    <row r="709" ht="15.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row>
    <row r="710" ht="15.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row>
    <row r="711" ht="15.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row>
    <row r="712" ht="15.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row>
    <row r="713" ht="15.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row>
    <row r="714" ht="15.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row>
    <row r="715" ht="15.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row>
    <row r="716" ht="15.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row>
    <row r="717" ht="15.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row>
    <row r="718" ht="15.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row>
    <row r="719" ht="15.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row>
    <row r="720" ht="15.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row>
    <row r="721" ht="15.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row>
    <row r="722" ht="15.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row>
    <row r="723" ht="15.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row>
    <row r="724" ht="15.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row>
    <row r="725" ht="15.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row>
    <row r="726" ht="15.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row>
    <row r="727" ht="15.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row>
    <row r="728" ht="15.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row>
    <row r="729" ht="15.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row>
    <row r="730" ht="15.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row>
    <row r="731" ht="15.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row>
    <row r="732" ht="15.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row>
    <row r="733" ht="15.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row>
    <row r="734" ht="15.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row>
    <row r="735" ht="15.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row>
    <row r="736" ht="15.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row>
    <row r="737" ht="15.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row>
    <row r="738" ht="15.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row>
    <row r="739" ht="15.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row>
    <row r="740" ht="15.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row>
    <row r="741" ht="15.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row>
    <row r="742" ht="15.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row>
    <row r="743" ht="15.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row>
    <row r="744" ht="15.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row>
    <row r="745" ht="15.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row>
    <row r="746" ht="15.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row>
    <row r="747" ht="15.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row>
    <row r="748" ht="15.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row>
    <row r="749" ht="15.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row>
    <row r="750" ht="15.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row>
    <row r="751" ht="15.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row>
    <row r="752" ht="15.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row>
    <row r="753" ht="15.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row>
    <row r="754" ht="15.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row>
    <row r="755" ht="15.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row>
    <row r="756" ht="15.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row>
    <row r="757" ht="15.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row>
    <row r="758" ht="15.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row>
    <row r="759" ht="15.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row>
    <row r="760" ht="15.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row>
    <row r="761" ht="15.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row>
    <row r="762" ht="15.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row>
    <row r="763" ht="15.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row>
    <row r="764" ht="15.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row>
    <row r="765" ht="15.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row>
    <row r="766" ht="15.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row>
    <row r="767" ht="15.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row>
    <row r="768" ht="15.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row>
    <row r="769" ht="15.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row>
    <row r="770" ht="15.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row>
    <row r="771" ht="15.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row>
    <row r="772" ht="15.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row>
    <row r="773" ht="15.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row>
    <row r="774" ht="15.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row>
    <row r="775" ht="15.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row>
    <row r="776" ht="15.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row>
    <row r="777" ht="15.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row>
    <row r="778" ht="15.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row>
    <row r="779" ht="15.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row>
    <row r="780" ht="15.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row>
    <row r="781" ht="15.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row>
    <row r="782" ht="15.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row>
    <row r="783" ht="15.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row>
    <row r="784" ht="15.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row>
    <row r="785" ht="15.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row>
    <row r="786" ht="15.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row>
    <row r="787" ht="15.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row>
    <row r="788" ht="15.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row>
    <row r="789" ht="15.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row>
    <row r="790" ht="15.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row>
    <row r="791" ht="15.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row>
    <row r="792" ht="15.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row>
    <row r="793" ht="15.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row>
    <row r="794" ht="15.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row>
    <row r="795" ht="15.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row>
    <row r="796" ht="15.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row>
    <row r="797" ht="15.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row>
    <row r="798" ht="15.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row>
    <row r="799" ht="15.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row>
    <row r="800" ht="15.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row>
    <row r="801" ht="15.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row>
    <row r="802" ht="15.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row>
    <row r="803" ht="15.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row>
    <row r="804" ht="15.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row>
    <row r="805" ht="15.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row>
    <row r="806" ht="15.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row>
    <row r="807" ht="15.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row>
    <row r="808" ht="15.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row>
    <row r="809" ht="15.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row>
    <row r="810" ht="15.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row>
    <row r="811" ht="15.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row>
    <row r="812" ht="15.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row>
    <row r="813" ht="15.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row>
    <row r="814" ht="15.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row>
    <row r="815" ht="15.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row>
    <row r="816" ht="15.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row>
    <row r="817" ht="15.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row>
    <row r="818" ht="15.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row>
    <row r="819" ht="15.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row>
    <row r="820" ht="15.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row>
    <row r="821" ht="15.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row>
    <row r="822" ht="15.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row>
    <row r="823" ht="15.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row>
    <row r="824" ht="15.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row>
    <row r="825" ht="15.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row>
    <row r="826" ht="15.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row>
    <row r="827" ht="15.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row>
    <row r="828" ht="15.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row>
    <row r="829" ht="15.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row>
    <row r="830" ht="15.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row>
    <row r="831" ht="15.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row>
    <row r="832" ht="15.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row>
    <row r="833" ht="15.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row>
    <row r="834" ht="15.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row>
    <row r="835" ht="15.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row>
    <row r="836" ht="15.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row>
    <row r="837" ht="15.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row>
    <row r="838" ht="15.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row>
    <row r="839" ht="15.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row>
    <row r="840" ht="15.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row>
    <row r="841" ht="15.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row>
    <row r="842" ht="15.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row>
    <row r="843" ht="15.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row>
    <row r="844" ht="15.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row>
    <row r="845" ht="15.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row>
    <row r="846" ht="15.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row>
    <row r="847" ht="15.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row>
    <row r="848" ht="15.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row>
    <row r="849" ht="15.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row>
    <row r="850" ht="15.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row>
    <row r="851" ht="15.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row>
    <row r="852" ht="15.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row>
    <row r="853" ht="15.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row>
    <row r="854" ht="15.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row>
    <row r="855" ht="15.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row>
    <row r="856" ht="15.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row>
    <row r="857" ht="15.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row>
    <row r="858" ht="15.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row>
    <row r="859" ht="15.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row>
    <row r="860" ht="15.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row>
    <row r="861" ht="15.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row>
    <row r="862" ht="15.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row>
    <row r="863" ht="15.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row>
    <row r="864" ht="15.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row>
    <row r="865" ht="15.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row>
    <row r="866" ht="15.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row>
    <row r="867" ht="15.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row>
    <row r="868" ht="15.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row>
    <row r="869" ht="15.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row>
    <row r="870" ht="15.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row>
    <row r="871" ht="15.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row>
    <row r="872" ht="15.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row>
    <row r="873" ht="15.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row>
    <row r="874" ht="15.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row>
    <row r="875" ht="15.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row>
    <row r="876" ht="15.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row>
    <row r="877" ht="15.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row>
    <row r="878" ht="15.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row>
    <row r="879" ht="15.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row>
    <row r="880" ht="15.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row>
    <row r="881" ht="15.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row>
    <row r="882" ht="15.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row>
    <row r="883" ht="15.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row>
    <row r="884" ht="15.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row>
    <row r="885" ht="15.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row>
    <row r="886" ht="15.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row>
    <row r="887" ht="15.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row>
    <row r="888" ht="15.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row>
    <row r="889" ht="15.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row>
    <row r="890" ht="15.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row>
    <row r="891" ht="15.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row>
    <row r="892" ht="15.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row>
    <row r="893" ht="15.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row>
    <row r="894" ht="15.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row>
    <row r="895" ht="15.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row>
    <row r="896" ht="15.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row>
    <row r="897" ht="15.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row>
    <row r="898" ht="15.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row>
    <row r="899" ht="15.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row>
    <row r="900" ht="15.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row>
    <row r="901" ht="15.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row>
    <row r="902" ht="15.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row>
    <row r="903" ht="15.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row>
    <row r="904" ht="15.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row>
    <row r="905" ht="15.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row>
    <row r="906" ht="15.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row>
    <row r="907" ht="15.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row>
    <row r="908" ht="15.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row>
    <row r="909" ht="15.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row>
    <row r="910" ht="15.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row>
    <row r="911" ht="15.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row>
    <row r="912" ht="15.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row>
    <row r="913" ht="15.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row>
    <row r="914" ht="15.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row>
    <row r="915" ht="15.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row>
    <row r="916" ht="15.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row>
    <row r="917" ht="15.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row>
    <row r="918" ht="15.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row>
    <row r="919" ht="15.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row>
    <row r="920" ht="15.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row>
    <row r="921" ht="15.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row>
    <row r="922" ht="15.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row>
    <row r="923" ht="15.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row>
    <row r="924" ht="15.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row>
    <row r="925" ht="15.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row>
    <row r="926" ht="15.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row>
    <row r="927" ht="15.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row>
    <row r="928" ht="15.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row>
    <row r="929" ht="15.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row>
    <row r="930" ht="15.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row>
    <row r="931" ht="15.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row>
    <row r="932" ht="15.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row>
    <row r="933" ht="15.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row>
    <row r="934" ht="15.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row>
    <row r="935" ht="15.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row>
    <row r="936" ht="15.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row>
    <row r="937" ht="15.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row>
    <row r="938" ht="15.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row>
    <row r="939" ht="15.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row>
    <row r="940" ht="15.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row>
    <row r="941" ht="15.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row>
    <row r="942" ht="15.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row>
    <row r="943" ht="15.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row>
    <row r="944" ht="15.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row>
    <row r="945" ht="15.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row>
    <row r="946" ht="15.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row>
    <row r="947" ht="15.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row>
    <row r="948" ht="15.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row>
    <row r="949" ht="15.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row>
    <row r="950" ht="15.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row>
    <row r="951" ht="15.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row>
    <row r="952" ht="15.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row>
    <row r="953" ht="15.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row>
    <row r="954" ht="15.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row>
    <row r="955" ht="15.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row>
    <row r="956" ht="15.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row>
    <row r="957" ht="15.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row>
    <row r="958" ht="15.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row>
    <row r="959" ht="15.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row>
    <row r="960" ht="15.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row>
    <row r="961" ht="15.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row>
    <row r="962" ht="15.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row>
    <row r="963" ht="15.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row>
    <row r="964" ht="15.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row>
    <row r="965" ht="15.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row>
    <row r="966" ht="15.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row>
    <row r="967" ht="15.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row>
    <row r="968" ht="15.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row>
    <row r="969" ht="15.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row>
    <row r="970" ht="15.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row>
    <row r="971" ht="15.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row>
    <row r="972" ht="15.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row>
    <row r="973" ht="15.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row>
    <row r="974" ht="15.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row>
    <row r="975" ht="15.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row>
    <row r="976" ht="15.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row>
    <row r="977" ht="15.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row>
    <row r="978" ht="15.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row>
    <row r="979" ht="15.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row>
    <row r="980" ht="15.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row>
    <row r="981" ht="15.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row>
    <row r="982" ht="15.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row>
    <row r="983" ht="15.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row>
    <row r="984" ht="15.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row>
    <row r="985" ht="15.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row>
    <row r="986" ht="15.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row>
    <row r="987" ht="15.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row>
    <row r="988" ht="15.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row>
    <row r="989" ht="15.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row>
    <row r="990" ht="15.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row>
    <row r="991" ht="15.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row>
    <row r="992" ht="15.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row>
    <row r="993" ht="15.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row>
    <row r="994" ht="15.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row>
    <row r="995" ht="15.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row>
    <row r="996" ht="15.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row>
    <row r="997" ht="15.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row>
    <row r="998" ht="15.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row>
    <row r="999" ht="15.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row>
    <row r="1000" ht="15.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row>
    <row r="1001" ht="15.75" customHeight="1">
      <c r="A1001" s="49"/>
      <c r="B1001" s="49"/>
      <c r="C1001" s="49"/>
      <c r="D1001" s="49"/>
      <c r="E1001" s="49"/>
      <c r="F1001" s="49"/>
      <c r="G1001" s="49"/>
      <c r="H1001" s="49"/>
      <c r="I1001" s="49"/>
      <c r="J1001" s="49"/>
      <c r="K1001" s="49"/>
      <c r="L1001" s="49"/>
      <c r="M1001" s="49"/>
      <c r="N1001" s="49"/>
      <c r="O1001" s="49"/>
      <c r="P1001" s="49"/>
      <c r="Q1001" s="49"/>
      <c r="R1001" s="49"/>
      <c r="S1001" s="49"/>
      <c r="T1001" s="49"/>
      <c r="U1001" s="49"/>
      <c r="V1001" s="49"/>
      <c r="W1001" s="49"/>
    </row>
    <row r="1002" ht="15.75" customHeight="1">
      <c r="A1002" s="49"/>
      <c r="B1002" s="49"/>
      <c r="C1002" s="49"/>
      <c r="D1002" s="49"/>
      <c r="E1002" s="49"/>
      <c r="F1002" s="49"/>
      <c r="G1002" s="49"/>
      <c r="H1002" s="49"/>
      <c r="I1002" s="49"/>
      <c r="J1002" s="49"/>
      <c r="K1002" s="49"/>
      <c r="L1002" s="49"/>
      <c r="M1002" s="49"/>
      <c r="N1002" s="49"/>
      <c r="O1002" s="49"/>
      <c r="P1002" s="49"/>
      <c r="Q1002" s="49"/>
      <c r="R1002" s="49"/>
      <c r="S1002" s="49"/>
      <c r="T1002" s="49"/>
      <c r="U1002" s="49"/>
      <c r="V1002" s="49"/>
      <c r="W1002" s="49"/>
    </row>
    <row r="1003" ht="15.75" customHeight="1">
      <c r="A1003" s="49"/>
      <c r="B1003" s="49"/>
      <c r="C1003" s="49"/>
      <c r="D1003" s="49"/>
      <c r="E1003" s="49"/>
      <c r="F1003" s="49"/>
      <c r="G1003" s="49"/>
      <c r="H1003" s="49"/>
      <c r="I1003" s="49"/>
      <c r="J1003" s="49"/>
      <c r="K1003" s="49"/>
      <c r="L1003" s="49"/>
      <c r="M1003" s="49"/>
      <c r="N1003" s="49"/>
      <c r="O1003" s="49"/>
      <c r="P1003" s="49"/>
      <c r="Q1003" s="49"/>
      <c r="R1003" s="49"/>
      <c r="S1003" s="49"/>
      <c r="T1003" s="49"/>
      <c r="U1003" s="49"/>
      <c r="V1003" s="49"/>
      <c r="W1003" s="49"/>
    </row>
    <row r="1004" ht="15.75" customHeight="1">
      <c r="A1004" s="49"/>
      <c r="B1004" s="49"/>
      <c r="C1004" s="49"/>
      <c r="D1004" s="49"/>
      <c r="E1004" s="49"/>
      <c r="F1004" s="49"/>
      <c r="G1004" s="49"/>
      <c r="H1004" s="49"/>
      <c r="I1004" s="49"/>
      <c r="J1004" s="49"/>
      <c r="K1004" s="49"/>
      <c r="L1004" s="49"/>
      <c r="M1004" s="49"/>
      <c r="N1004" s="49"/>
      <c r="O1004" s="49"/>
      <c r="P1004" s="49"/>
      <c r="Q1004" s="49"/>
      <c r="R1004" s="49"/>
      <c r="S1004" s="49"/>
      <c r="T1004" s="49"/>
      <c r="U1004" s="49"/>
      <c r="V1004" s="49"/>
      <c r="W1004" s="49"/>
    </row>
    <row r="1005" ht="15.75" customHeight="1">
      <c r="A1005" s="49"/>
      <c r="B1005" s="49"/>
      <c r="C1005" s="49"/>
      <c r="D1005" s="49"/>
      <c r="E1005" s="49"/>
      <c r="F1005" s="49"/>
      <c r="G1005" s="49"/>
      <c r="H1005" s="49"/>
      <c r="I1005" s="49"/>
      <c r="J1005" s="49"/>
      <c r="K1005" s="49"/>
      <c r="L1005" s="49"/>
      <c r="M1005" s="49"/>
      <c r="N1005" s="49"/>
      <c r="O1005" s="49"/>
      <c r="P1005" s="49"/>
      <c r="Q1005" s="49"/>
      <c r="R1005" s="49"/>
      <c r="S1005" s="49"/>
      <c r="T1005" s="49"/>
      <c r="U1005" s="49"/>
      <c r="V1005" s="49"/>
      <c r="W1005" s="49"/>
    </row>
  </sheetData>
  <mergeCells count="6">
    <mergeCell ref="A1:C1"/>
    <mergeCell ref="A2:C2"/>
    <mergeCell ref="A19:C19"/>
    <mergeCell ref="A32:C32"/>
    <mergeCell ref="A42:C42"/>
    <mergeCell ref="A43:C43"/>
  </mergeCells>
  <conditionalFormatting sqref="B46">
    <cfRule type="expression" dxfId="0" priority="1">
      <formula>$B21="Long"</formula>
    </cfRule>
  </conditionalFormatting>
  <conditionalFormatting sqref="B46">
    <cfRule type="expression" dxfId="1" priority="2">
      <formula>$B21="Short"</formula>
    </cfRule>
  </conditionalFormatting>
  <conditionalFormatting sqref="B47">
    <cfRule type="expression" dxfId="2" priority="3">
      <formula>AND($B21="Long",$B27="Limit")</formula>
    </cfRule>
  </conditionalFormatting>
  <conditionalFormatting sqref="B47">
    <cfRule type="expression" dxfId="1" priority="4">
      <formula>AND($B21="Short",$B27="Limit")</formula>
    </cfRule>
  </conditionalFormatting>
  <conditionalFormatting sqref="B50">
    <cfRule type="expression" dxfId="1" priority="5">
      <formula>$B21="Long"</formula>
    </cfRule>
  </conditionalFormatting>
  <conditionalFormatting sqref="B50">
    <cfRule type="expression" dxfId="0" priority="6">
      <formula>$B21="Short"</formula>
    </cfRule>
  </conditionalFormatting>
  <conditionalFormatting sqref="B51">
    <cfRule type="expression" dxfId="1" priority="7">
      <formula>AND($B21="Long",$B27="Limit")</formula>
    </cfRule>
  </conditionalFormatting>
  <conditionalFormatting sqref="B51">
    <cfRule type="expression" dxfId="0" priority="8">
      <formula>AND($B21="Short",$B27="Limit")</formula>
    </cfRule>
  </conditionalFormatting>
  <conditionalFormatting sqref="B53">
    <cfRule type="expression" dxfId="1" priority="9">
      <formula>$B21="Long"</formula>
    </cfRule>
  </conditionalFormatting>
  <conditionalFormatting sqref="B53">
    <cfRule type="expression" dxfId="0" priority="10">
      <formula>$B21="Short"</formula>
    </cfRule>
  </conditionalFormatting>
  <conditionalFormatting sqref="B48">
    <cfRule type="expression" dxfId="1" priority="11">
      <formula>$B21="Long"</formula>
    </cfRule>
  </conditionalFormatting>
  <conditionalFormatting sqref="B48">
    <cfRule type="expression" dxfId="0" priority="12">
      <formula>$B21="Short"</formula>
    </cfRule>
  </conditionalFormatting>
  <conditionalFormatting sqref="A47">
    <cfRule type="expression" dxfId="3" priority="13">
      <formula>$B27="Market"</formula>
    </cfRule>
  </conditionalFormatting>
  <conditionalFormatting sqref="B49">
    <cfRule type="expression" dxfId="0" priority="14">
      <formula>AND($B21="Short",$B27="Limit")</formula>
    </cfRule>
  </conditionalFormatting>
  <conditionalFormatting sqref="B49">
    <cfRule type="expression" dxfId="1" priority="15">
      <formula>AND($B21="Long",$B27="Limit")</formula>
    </cfRule>
  </conditionalFormatting>
  <conditionalFormatting sqref="B52">
    <cfRule type="expression" dxfId="4" priority="16">
      <formula>$B21="Short"</formula>
    </cfRule>
  </conditionalFormatting>
  <conditionalFormatting sqref="B52">
    <cfRule type="expression" dxfId="1" priority="17">
      <formula>$B21="Long"</formula>
    </cfRule>
  </conditionalFormatting>
  <conditionalFormatting sqref="B48">
    <cfRule type="expression" dxfId="1" priority="18">
      <formula>$B21="Long"</formula>
    </cfRule>
  </conditionalFormatting>
  <dataValidations>
    <dataValidation type="list" allowBlank="1" showErrorMessage="1" sqref="B27">
      <formula1>"Limit,Market"</formula1>
    </dataValidation>
    <dataValidation type="list" allowBlank="1" showErrorMessage="1" sqref="B21">
      <formula1>"Long,Short"</formula1>
    </dataValidation>
    <dataValidation type="list" allowBlank="1" showErrorMessage="1" sqref="B28">
      <formula1>"Normal,Strong"</formula1>
    </dataValidation>
    <dataValidation type="list" allowBlank="1" showErrorMessage="1" sqref="B22">
      <formula1>"EVB,BTR,NSE Topers"</formula1>
    </dataValidation>
  </dataValidation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0"/>
    <col customWidth="1" min="2" max="2" width="16.86"/>
    <col customWidth="1" min="3" max="3" width="34.86"/>
  </cols>
  <sheetData>
    <row r="1" ht="32.25" customHeight="1">
      <c r="A1" s="1" t="s">
        <v>0</v>
      </c>
      <c r="B1" s="6" t="str">
        <f>'Position Calculator'!$B$20</f>
        <v/>
      </c>
      <c r="C1" s="8" t="s">
        <v>3</v>
      </c>
    </row>
    <row r="2" ht="33.0" customHeight="1">
      <c r="A2" s="10" t="s">
        <v>4</v>
      </c>
      <c r="B2" s="13" t="str">
        <f>'Position Calculator'!$B$21</f>
        <v>Long</v>
      </c>
      <c r="C2" s="14" t="s">
        <v>3</v>
      </c>
    </row>
    <row r="3" ht="32.25" customHeight="1">
      <c r="A3" s="10" t="s">
        <v>6</v>
      </c>
      <c r="B3" s="16">
        <v>1339.8</v>
      </c>
      <c r="C3" s="14" t="s">
        <v>8</v>
      </c>
    </row>
    <row r="4" ht="42.0" customHeight="1">
      <c r="A4" s="18" t="s">
        <v>9</v>
      </c>
      <c r="B4" s="24">
        <f>IF(B2="Short", B3+'Position Calculator'!B30*'Position Calculator'!B17, B3-'Position Calculator'!B30*'Position Calculator'!B17)</f>
        <v>1339.8</v>
      </c>
      <c r="C4" s="25" t="s">
        <v>14</v>
      </c>
    </row>
  </sheetData>
  <drawing r:id="rId1"/>
</worksheet>
</file>