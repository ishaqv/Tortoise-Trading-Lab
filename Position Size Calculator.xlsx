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2">
      <text>
        <t xml:space="preserve">Legend
🟠 Orange – SELL
🔵 Blue – BUY</t>
      </text>
    </comment>
    <comment authorId="0" ref="B41">
      <text>
        <t xml:space="preserve">Legend
🟠 Orange – SELL
🔵 Blue – BUY</t>
      </text>
    </comment>
    <comment authorId="0" ref="B40">
      <text>
        <t xml:space="preserve">Legend
🟠 Orange – SELL
🔵 Blue – BUY</t>
      </text>
    </comment>
    <comment authorId="0" ref="B39">
      <text>
        <t xml:space="preserve">Legend
🟠 Orange – SELL
🔵 Blue – BUY</t>
      </text>
    </comment>
    <comment authorId="0" ref="B38">
      <text>
        <t xml:space="preserve">Legend
🟠 Orange – SELL
🔵 Blue – BUY</t>
      </text>
    </comment>
  </commentList>
</comments>
</file>

<file path=xl/sharedStrings.xml><?xml version="1.0" encoding="utf-8"?>
<sst xmlns="http://schemas.openxmlformats.org/spreadsheetml/2006/main" count="83" uniqueCount="83">
  <si>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</si>
  <si>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</si>
  <si>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</si>
  <si>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</si>
  <si>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</si>
  <si>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</si>
  <si>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</si>
  <si>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</si>
  <si>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</si>
  <si>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</si>
  <si>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</si>
  <si>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</si>
  <si>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</si>
  <si>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</si>
  <si>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</si>
  <si>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t>
  </si>
  <si>
    <t>ATR multiple for entry buffer</t>
  </si>
  <si>
    <t>ATR - Spread Ratio Limit</t>
  </si>
  <si>
    <t>spread relative to volatility. 5–10% → acceptable. Wide spread can cause slippage</t>
  </si>
  <si>
    <t>Partial Exit Percentage</t>
  </si>
  <si>
    <t>Percentage of shares to be exited at T1 in partial exit model</t>
  </si>
  <si>
    <t>TRADE INPUTS</t>
  </si>
  <si>
    <t>*  Symbol</t>
  </si>
  <si>
    <t>HUHTAMAKI</t>
  </si>
  <si>
    <t>Mandatory Input Field (Not case-sensitive). It will convert to UPPER automatically</t>
  </si>
  <si>
    <t>*  Trade Type</t>
  </si>
  <si>
    <t>Long</t>
  </si>
  <si>
    <t>*  Setup</t>
  </si>
  <si>
    <t>EVB</t>
  </si>
  <si>
    <t>Mandatory Input Field. Enter high of confirmation candle</t>
  </si>
  <si>
    <t>*  ATR</t>
  </si>
  <si>
    <t>ATR of breakout candle. Must be entered manually</t>
  </si>
  <si>
    <t>*  Spread</t>
  </si>
  <si>
    <t>*  Entry</t>
  </si>
  <si>
    <t>Confirmation Candle</t>
  </si>
  <si>
    <t>Are you entering at the confirmation candle high, or at the breakout candle high when it's lower than the confirmation candle high? If it's the latter, the earlier entry gives the trade more room to run, so you may be able to capture more of the move. Only attempt the breakout-high entry if the price remains below that level on the candle immediately after the confirmation candle.</t>
  </si>
  <si>
    <t>Spread/ATR</t>
  </si>
  <si>
    <t>&lt; 10% → acceptable</t>
  </si>
  <si>
    <t>Tick Size</t>
  </si>
  <si>
    <t>Auto-calculated and used to round the entry price to a value accepted by the broker.</t>
  </si>
  <si>
    <t>Intermediate Entry Price</t>
  </si>
  <si>
    <t>Entry Price Diff / ATR</t>
  </si>
  <si>
    <t>🟢  Entry Price</t>
  </si>
  <si>
    <t xml:space="preserve">Computed value. Auto-fetches day high if manual entry (B15) missing
</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</si>
  <si>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</si>
  <si>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</si>
  <si>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</si>
  <si>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</si>
  <si>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</si>
  <si>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</si>
  <si>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</si>
  <si>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</si>
  <si>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</si>
  <si>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</si>
  <si>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</si>
  <si>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</si>
  <si>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</si>
  <si>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</si>
  <si>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</si>
  <si>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</si>
  <si>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t>Quantity is rounded to the nearest 5 for convenience.</t>
  </si>
  <si>
    <t>Entry Price</t>
  </si>
  <si>
    <t>Entry price may vary slightly due to slippage when using a Stop-Loss Market (SL-M) order.</t>
  </si>
  <si>
    <t>Immediate SL Price</t>
  </si>
  <si>
    <t>Wide SL: 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</si>
  <si>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</si>
  <si>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</si>
  <si>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</si>
  <si>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</si>
  <si>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</si>
  <si>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</si>
  <si>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</si>
  <si>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</si>
  <si>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</si>
  <si>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</si>
  <si>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(R)</t>
  </si>
  <si>
    <t>Loss amount may vary due to SL slippage</t>
  </si>
  <si>
    <t>Max Loss (R)</t>
  </si>
  <si>
    <t>Max pain if intermedite SL is hit. Loss amount may vary due to SL slippage</t>
  </si>
  <si>
    <t>Fixed Target Profit</t>
  </si>
  <si>
    <t>Only applicable to fixed target exit strategy</t>
  </si>
  <si>
    <t>Partial Target Profit</t>
  </si>
  <si>
    <t>Only applicable to partial target exit strategy</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</si>
</sst>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980000"/>
      <name val="Arial"/>
    </font>
    <font>
      <color theme="1"/>
      <name val="Calibri"/>
      <scheme val="minor"/>
    </font>
    <font>
      <b/>
      <sz val="11.0"/>
      <color rgb="FF000000"/>
      <name val="Arial"/>
    </font>
    <font>
      <b/>
      <sz val="12.0"/>
      <color rgb="FFFF0000"/>
      <name val="Arial"/>
    </font>
    <font>
      <b/>
      <sz val="12.0"/>
      <color rgb="FF000000"/>
      <name val="Arial"/>
    </font>
    <font>
      <b/>
      <sz val="12.0"/>
      <color rgb="FF990000"/>
      <name val="Arial"/>
    </font>
    <font>
      <b/>
      <sz val="12.0"/>
      <color rgb="FF660000"/>
      <name val="Arial"/>
    </font>
    <font>
      <b/>
      <sz val="12.0"/>
      <color rgb="FF38761D"/>
      <name val="Arial"/>
    </font>
    <font>
      <b/>
      <sz val="12.0"/>
      <color rgb="FF274E13"/>
      <name val="Arial"/>
    </font>
  </fonts>
  <fills count="12">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D966"/>
        <bgColor rgb="FFFFD966"/>
      </patternFill>
    </fill>
    <fill>
      <patternFill patternType="solid">
        <fgColor rgb="FFD9EAD3"/>
        <bgColor rgb="FFD9EAD3"/>
      </patternFill>
    </fill>
    <fill>
      <patternFill patternType="solid">
        <fgColor rgb="FFEBF1F5"/>
        <bgColor rgb="FFEBF1F5"/>
      </patternFill>
    </fill>
    <fill>
      <patternFill patternType="solid">
        <fgColor rgb="FF434343"/>
        <bgColor rgb="FF434343"/>
      </patternFill>
    </fill>
    <fill>
      <patternFill patternType="solid">
        <fgColor rgb="FFB7B7B7"/>
        <bgColor rgb="FFB7B7B7"/>
      </patternFill>
    </fill>
  </fills>
  <borders count="23">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bottom/>
    </border>
    <border>
      <left style="thin">
        <color rgb="FFCCCCCC"/>
      </left>
      <right style="thin">
        <color rgb="FFCCCCCC"/>
      </right>
      <bottom/>
    </border>
    <border>
      <left style="thin">
        <color rgb="FFCCCCCC"/>
      </left>
      <right style="thin">
        <color rgb="FFCCCCCC"/>
      </right>
    </border>
    <border>
      <left style="thin">
        <color rgb="FFCCCCCC"/>
      </left>
      <top/>
    </border>
    <border>
      <top/>
    </border>
    <border>
      <left style="thin">
        <color rgb="FFCCCCCC"/>
      </left>
    </border>
    <border>
      <left style="thin">
        <color rgb="FFCCCCCC"/>
      </left>
      <right style="thin">
        <color rgb="FFCCCCCC"/>
      </right>
      <top/>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left" shrinkToFit="0" vertical="center" wrapText="1"/>
    </xf>
    <xf borderId="4" fillId="0" fontId="4" numFmtId="0" xfId="0" applyAlignment="1" applyBorder="1" applyFont="1">
      <alignment horizontal="left"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left" shrinkToFit="0" vertical="center" wrapText="1"/>
    </xf>
    <xf borderId="7" fillId="0" fontId="4" numFmtId="0" xfId="0" applyAlignment="1" applyBorder="1" applyFont="1">
      <alignment horizontal="left"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left"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shrinkToFit="0" vertical="center" wrapText="1"/>
    </xf>
    <xf borderId="9" fillId="6" fontId="8" numFmtId="165" xfId="0" applyAlignment="1" applyBorder="1" applyFill="1" applyFont="1" applyNumberFormat="1">
      <alignment horizontal="left" readingOrder="0" shrinkToFit="0" vertical="center" wrapText="1"/>
    </xf>
    <xf borderId="9" fillId="6" fontId="9" numFmtId="0" xfId="0" applyAlignment="1" applyBorder="1" applyFont="1">
      <alignment horizontal="left" shrinkToFit="0" vertical="center" wrapText="1"/>
    </xf>
    <xf borderId="8" fillId="4" fontId="10" numFmtId="0" xfId="0" applyAlignment="1" applyBorder="1" applyFont="1">
      <alignment horizontal="left" shrinkToFit="0" vertical="center" wrapText="1"/>
    </xf>
    <xf borderId="9" fillId="6" fontId="11" numFmtId="10" xfId="0" applyAlignment="1" applyBorder="1" applyFont="1" applyNumberFormat="1">
      <alignment horizontal="left" readingOrder="0" shrinkToFit="0" vertical="center" wrapText="1"/>
    </xf>
    <xf borderId="9" fillId="6" fontId="11" numFmtId="2" xfId="0" applyAlignment="1" applyBorder="1" applyFont="1" applyNumberFormat="1">
      <alignment horizontal="left" readingOrder="0" shrinkToFit="0" vertical="center" wrapText="1"/>
    </xf>
    <xf borderId="9" fillId="6" fontId="9" numFmtId="0" xfId="0" applyAlignment="1" applyBorder="1" applyFont="1">
      <alignment horizontal="left" readingOrder="0" shrinkToFit="0" vertical="center" wrapText="1"/>
    </xf>
    <xf borderId="10" fillId="4" fontId="10" numFmtId="0" xfId="0" applyAlignment="1" applyBorder="1" applyFont="1">
      <alignment horizontal="left" shrinkToFit="0" vertical="center" wrapText="1"/>
    </xf>
    <xf borderId="11" fillId="6" fontId="11" numFmtId="9" xfId="0" applyAlignment="1" applyBorder="1" applyFont="1" applyNumberFormat="1">
      <alignment horizontal="left" readingOrder="0" shrinkToFit="0" vertical="center" wrapText="1"/>
    </xf>
    <xf borderId="11" fillId="6" fontId="9" numFmtId="0" xfId="0" applyAlignment="1" applyBorder="1" applyFont="1">
      <alignment horizontal="left" shrinkToFit="0" vertical="center" wrapText="1"/>
    </xf>
    <xf borderId="12" fillId="4" fontId="10" numFmtId="0" xfId="0" applyAlignment="1" applyBorder="1" applyFont="1">
      <alignment horizontal="left" shrinkToFit="0" vertical="center" wrapText="1"/>
    </xf>
    <xf borderId="13" fillId="6" fontId="11" numFmtId="4" xfId="0" applyAlignment="1" applyBorder="1" applyFont="1" applyNumberFormat="1">
      <alignment horizontal="left" shrinkToFit="0" vertical="center" wrapText="1"/>
    </xf>
    <xf borderId="13" fillId="6" fontId="9" numFmtId="0" xfId="0" applyAlignment="1" applyBorder="1" applyFont="1">
      <alignment horizontal="left" shrinkToFit="0" vertical="center" wrapText="1"/>
    </xf>
    <xf borderId="14" fillId="0" fontId="3" numFmtId="0" xfId="0" applyAlignment="1" applyBorder="1" applyFont="1">
      <alignment horizontal="left" shrinkToFit="0" vertical="center" wrapText="1"/>
    </xf>
    <xf borderId="15" fillId="0" fontId="4" numFmtId="0" xfId="0" applyAlignment="1" applyBorder="1" applyFont="1">
      <alignment horizontal="left" shrinkToFit="0" vertical="center" wrapText="1"/>
    </xf>
    <xf borderId="12" fillId="4" fontId="10" numFmtId="0" xfId="0" applyAlignment="1" applyBorder="1" applyFont="1">
      <alignment horizontal="left" readingOrder="0" shrinkToFit="0" vertical="center" wrapText="1"/>
    </xf>
    <xf borderId="13" fillId="6" fontId="11" numFmtId="1" xfId="0" applyAlignment="1" applyBorder="1" applyFont="1" applyNumberFormat="1">
      <alignment horizontal="left" shrinkToFit="0" vertical="center" wrapText="1"/>
    </xf>
    <xf borderId="13" fillId="6" fontId="11" numFmtId="9" xfId="0" applyAlignment="1" applyBorder="1" applyFont="1" applyNumberFormat="1">
      <alignment horizontal="left" readingOrder="0" shrinkToFit="0" vertical="center" wrapText="1"/>
    </xf>
    <xf borderId="13" fillId="6" fontId="11" numFmtId="9" xfId="0" applyAlignment="1" applyBorder="1" applyFont="1" applyNumberFormat="1">
      <alignment horizontal="left" shrinkToFit="0" vertical="center" wrapText="1"/>
    </xf>
    <xf borderId="13" fillId="0" fontId="12" numFmtId="0" xfId="0" applyAlignment="1" applyBorder="1" applyFont="1">
      <alignment horizontal="left" shrinkToFit="0" vertical="center" wrapText="1"/>
    </xf>
    <xf borderId="16" fillId="4" fontId="10" numFmtId="0" xfId="0" applyAlignment="1" applyBorder="1" applyFont="1">
      <alignment horizontal="left" shrinkToFit="0" vertical="center" wrapText="1"/>
    </xf>
    <xf borderId="17" fillId="6" fontId="11" numFmtId="9" xfId="0" applyAlignment="1" applyBorder="1" applyFont="1" applyNumberFormat="1">
      <alignment horizontal="left" readingOrder="0" shrinkToFit="0" vertical="center" wrapText="1"/>
    </xf>
    <xf borderId="18" fillId="0" fontId="12" numFmtId="0" xfId="0" applyAlignment="1" applyBorder="1" applyFont="1">
      <alignment horizontal="left"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7" fontId="8" numFmtId="164" xfId="0" applyAlignment="1" applyBorder="1" applyFill="1" applyFont="1" applyNumberFormat="1">
      <alignment horizontal="left" readingOrder="0" shrinkToFit="0" vertical="center" wrapText="1"/>
    </xf>
    <xf borderId="21" fillId="4" fontId="13" numFmtId="0" xfId="0" applyAlignment="1" applyBorder="1" applyFont="1">
      <alignment horizontal="left" shrinkToFit="0" vertical="center" wrapText="1"/>
    </xf>
    <xf borderId="18" fillId="7" fontId="8" numFmtId="164" xfId="0" applyAlignment="1" applyBorder="1" applyFont="1" applyNumberFormat="1">
      <alignment horizontal="left" readingOrder="0" shrinkToFit="0" vertical="center" wrapText="1"/>
    </xf>
    <xf borderId="18" fillId="6" fontId="9" numFmtId="0" xfId="0" applyAlignment="1" applyBorder="1" applyFont="1">
      <alignment horizontal="left" shrinkToFit="0" vertical="center" wrapText="1"/>
    </xf>
    <xf borderId="16" fillId="4" fontId="13" numFmtId="0" xfId="0" applyAlignment="1" applyBorder="1" applyFont="1">
      <alignment horizontal="left" shrinkToFit="0" vertical="center" wrapText="1"/>
    </xf>
    <xf borderId="17" fillId="7" fontId="8" numFmtId="164" xfId="0" applyAlignment="1" applyBorder="1" applyFont="1" applyNumberFormat="1">
      <alignment horizontal="left" readingOrder="0" shrinkToFit="0" vertical="center" wrapText="1"/>
    </xf>
    <xf borderId="17" fillId="6" fontId="9" numFmtId="0" xfId="0" applyAlignment="1" applyBorder="1" applyFont="1">
      <alignment horizontal="left" shrinkToFit="0" vertical="center" wrapText="1"/>
    </xf>
    <xf borderId="8" fillId="4" fontId="13" numFmtId="0" xfId="0" applyAlignment="1" applyBorder="1" applyFont="1">
      <alignment horizontal="left" shrinkToFit="0" vertical="center" wrapText="1"/>
    </xf>
    <xf borderId="9" fillId="7" fontId="8" numFmtId="164" xfId="0" applyAlignment="1" applyBorder="1" applyFont="1" applyNumberFormat="1">
      <alignment horizontal="left" readingOrder="0" shrinkToFit="0" vertical="center" wrapText="1"/>
    </xf>
    <xf borderId="8" fillId="4" fontId="13" numFmtId="0" xfId="0" applyAlignment="1" applyBorder="1" applyFont="1">
      <alignment horizontal="left" readingOrder="0" shrinkToFit="0" vertical="center" wrapText="1"/>
    </xf>
    <xf borderId="9" fillId="7" fontId="8" numFmtId="4" xfId="0" applyAlignment="1" applyBorder="1" applyFont="1" applyNumberFormat="1">
      <alignment horizontal="left" readingOrder="0" shrinkToFit="0" vertical="center" wrapText="1"/>
    </xf>
    <xf borderId="9" fillId="7" fontId="8" numFmtId="0" xfId="0" applyAlignment="1" applyBorder="1" applyFont="1">
      <alignment horizontal="left" readingOrder="0" shrinkToFit="0" vertical="center" wrapText="1"/>
    </xf>
    <xf borderId="0" fillId="0" fontId="14" numFmtId="0" xfId="0" applyAlignment="1" applyFont="1">
      <alignment horizontal="left" readingOrder="0" shrinkToFit="0" vertical="center" wrapText="1"/>
    </xf>
    <xf borderId="8" fillId="4" fontId="15" numFmtId="0" xfId="0" applyAlignment="1" applyBorder="1" applyFont="1">
      <alignment horizontal="left" shrinkToFit="0" vertical="center" wrapText="1"/>
    </xf>
    <xf borderId="9" fillId="8" fontId="8" numFmtId="10" xfId="0" applyAlignment="1" applyBorder="1" applyFill="1" applyFont="1" applyNumberFormat="1">
      <alignment horizontal="left" shrinkToFit="0" vertical="center" wrapText="1"/>
    </xf>
    <xf borderId="9" fillId="8" fontId="8" numFmtId="2" xfId="0" applyAlignment="1" applyBorder="1" applyFont="1" applyNumberFormat="1">
      <alignment horizontal="left" shrinkToFit="0" vertical="center" wrapText="1"/>
    </xf>
    <xf borderId="8" fillId="4" fontId="15" numFmtId="0" xfId="0" applyAlignment="1" applyBorder="1" applyFont="1">
      <alignment horizontal="left" readingOrder="0" shrinkToFit="0" vertical="center" wrapText="1"/>
    </xf>
    <xf borderId="9" fillId="8" fontId="8" numFmtId="9" xfId="0" applyAlignment="1" applyBorder="1" applyFont="1" applyNumberFormat="1">
      <alignment horizontal="left" shrinkToFit="0" vertical="center" wrapText="1"/>
    </xf>
    <xf borderId="5" fillId="4" fontId="16" numFmtId="0" xfId="0" applyAlignment="1" applyBorder="1" applyFont="1">
      <alignment horizontal="left" shrinkToFit="0" vertical="center" wrapText="1"/>
    </xf>
    <xf borderId="9" fillId="9" fontId="10" numFmtId="164" xfId="0" applyAlignment="1" applyBorder="1" applyFill="1" applyFont="1" applyNumberFormat="1">
      <alignment horizontal="left" shrinkToFit="0" vertical="center" wrapText="1"/>
    </xf>
    <xf borderId="9" fillId="9" fontId="9" numFmtId="0" xfId="0" applyAlignment="1" applyBorder="1" applyFont="1">
      <alignment horizontal="left" shrinkToFit="0" vertical="center" wrapText="1"/>
    </xf>
    <xf borderId="9" fillId="9" fontId="10" numFmtId="1" xfId="0" applyAlignment="1" applyBorder="1" applyFont="1" applyNumberFormat="1">
      <alignment horizontal="left" shrinkToFit="0" vertical="center" wrapText="1"/>
    </xf>
    <xf borderId="5" fillId="10" fontId="5" numFmtId="0" xfId="0" applyAlignment="1" applyBorder="1" applyFill="1" applyFont="1">
      <alignment horizontal="left" shrinkToFit="0" vertical="center" wrapText="1"/>
    </xf>
    <xf borderId="5" fillId="11" fontId="17" numFmtId="0" xfId="0" applyAlignment="1" applyBorder="1" applyFill="1" applyFont="1">
      <alignment horizontal="left" shrinkToFit="0" vertical="center" wrapText="1"/>
    </xf>
    <xf borderId="22" fillId="11" fontId="17" numFmtId="4" xfId="0" applyAlignment="1" applyBorder="1" applyFont="1" applyNumberFormat="1">
      <alignment horizontal="left" shrinkToFit="0" vertical="center" wrapText="1"/>
    </xf>
    <xf borderId="18" fillId="0" fontId="3" numFmtId="0" xfId="0" applyAlignment="1" applyBorder="1" applyFont="1">
      <alignment horizontal="left" shrinkToFit="0" vertical="center" wrapText="1"/>
    </xf>
    <xf borderId="8" fillId="11" fontId="17" numFmtId="0" xfId="0" applyAlignment="1" applyBorder="1" applyFont="1">
      <alignment horizontal="left" shrinkToFit="0" vertical="center" wrapText="1"/>
    </xf>
    <xf borderId="9" fillId="11" fontId="17" numFmtId="1" xfId="0" applyAlignment="1" applyBorder="1" applyFont="1" applyNumberFormat="1">
      <alignment horizontal="left" shrinkToFit="0" vertical="center" wrapText="1"/>
    </xf>
    <xf borderId="9" fillId="11" fontId="17" numFmtId="164" xfId="0" applyAlignment="1" applyBorder="1" applyFont="1" applyNumberFormat="1">
      <alignment horizontal="left" shrinkToFit="0" vertical="center" wrapText="1"/>
    </xf>
    <xf borderId="8" fillId="11" fontId="17" numFmtId="0" xfId="0" applyAlignment="1" applyBorder="1" applyFont="1">
      <alignment horizontal="left" readingOrder="0" shrinkToFit="0" vertical="center" wrapText="1"/>
    </xf>
    <xf borderId="18" fillId="0" fontId="3" numFmtId="0" xfId="0" applyAlignment="1" applyBorder="1" applyFont="1">
      <alignment horizontal="left" readingOrder="0" shrinkToFit="0" vertical="center" wrapText="1"/>
    </xf>
    <xf borderId="9" fillId="11" fontId="18" numFmtId="165" xfId="0" applyAlignment="1" applyBorder="1" applyFont="1" applyNumberFormat="1">
      <alignment horizontal="left" shrinkToFit="0" vertical="center" wrapText="1"/>
    </xf>
    <xf borderId="9" fillId="11" fontId="19" numFmtId="165" xfId="0" applyAlignment="1" applyBorder="1" applyFont="1" applyNumberFormat="1">
      <alignment horizontal="left" shrinkToFit="0" vertical="center" wrapText="1"/>
    </xf>
    <xf borderId="22" fillId="11" fontId="20" numFmtId="165" xfId="0" applyAlignment="1" applyBorder="1" applyFont="1" applyNumberFormat="1">
      <alignment horizontal="left" shrinkToFit="0" vertical="center" wrapText="1"/>
    </xf>
    <xf borderId="5" fillId="11" fontId="17" numFmtId="0" xfId="0" applyAlignment="1" applyBorder="1" applyFont="1">
      <alignment horizontal="left" readingOrder="0" shrinkToFit="0" vertical="center" wrapText="1"/>
    </xf>
    <xf borderId="22" fillId="11" fontId="21" numFmtId="165" xfId="0" applyAlignment="1" applyBorder="1" applyFont="1" applyNumberFormat="1">
      <alignment horizontal="left" shrinkToFit="0" vertical="center" wrapText="1"/>
    </xf>
    <xf borderId="21" fillId="0" fontId="3" numFmtId="0" xfId="0" applyAlignment="1" applyBorder="1" applyFont="1">
      <alignment horizontal="left" shrinkToFit="0" vertical="center" wrapText="1"/>
    </xf>
    <xf borderId="18" fillId="0" fontId="3" numFmtId="164" xfId="0" applyAlignment="1" applyBorder="1" applyFont="1" applyNumberFormat="1">
      <alignment horizontal="left" shrinkToFit="0" vertical="center" wrapText="1"/>
    </xf>
    <xf borderId="21" fillId="0" fontId="4"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0" fillId="0" fontId="14" numFmtId="0" xfId="0" applyAlignment="1" applyFont="1">
      <alignment horizontal="left" shrinkToFit="0" vertical="center" wrapText="1"/>
    </xf>
  </cellXfs>
  <cellStyles count="1">
    <cellStyle xfId="0" name="Normal" builtinId="0"/>
  </cellStyles>
  <dxfs count="6">
    <dxf>
      <font>
        <color rgb="FF000000"/>
      </font>
      <fill>
        <patternFill patternType="solid">
          <fgColor rgb="FF6D9EEB"/>
          <bgColor rgb="FF6D9EEB"/>
        </patternFill>
      </fill>
      <border/>
    </dxf>
    <dxf>
      <font>
        <color rgb="FF000000"/>
      </font>
      <fill>
        <patternFill patternType="solid">
          <fgColor rgb="FFFF9900"/>
          <bgColor rgb="FFFF9900"/>
        </patternFill>
      </fill>
      <border/>
    </dxf>
    <dxf>
      <font/>
      <fill>
        <patternFill patternType="solid">
          <fgColor rgb="FFB7E1CD"/>
          <bgColor rgb="FFB7E1CD"/>
        </patternFill>
      </fill>
      <border/>
    </dxf>
    <dxf>
      <font/>
      <fill>
        <patternFill patternType="solid">
          <fgColor rgb="FFF79646"/>
          <bgColor rgb="FFF79646"/>
        </patternFill>
      </fill>
      <border/>
    </dxf>
    <dxf>
      <font>
        <color rgb="FF000000"/>
      </font>
      <fill>
        <patternFill patternType="solid">
          <fgColor rgb="FF2E74B5"/>
          <bgColor rgb="FF2E74B5"/>
        </patternFill>
      </fill>
      <border/>
    </dxf>
    <dxf>
      <font>
        <color rgb="FF000000"/>
      </font>
      <fill>
        <patternFill patternType="solid">
          <fgColor theme="9"/>
          <bgColor theme="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19</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38.71"/>
    <col customWidth="1" min="3" max="3" width="121.14"/>
    <col customWidth="1" min="4"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400000.0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IF(B16="NSE Topers",2.75/B7,1.75/B7)
  +
  IF(
    B21="Breakout Candle",
    0.25*FLOOR(B25/25%,1),
    0
  ),
  0.25
)</f>
        <v>3.5</v>
      </c>
      <c r="C8" s="24" t="str">
        <f t="shared" ref="C8:C9" si="1">B8 &amp; "R"</f>
        <v>3.5R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 B8*2,1)</f>
        <v>7</v>
      </c>
      <c r="C9" s="24" t="str">
        <f t="shared" si="1"/>
        <v>7R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2" t="s">
        <v>15</v>
      </c>
      <c r="B10" s="29">
        <v>0.02</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22" t="s">
        <v>17</v>
      </c>
      <c r="B11" s="30">
        <v>0.1</v>
      </c>
      <c r="C11" s="31" t="s">
        <v>18</v>
      </c>
      <c r="D11" s="25"/>
      <c r="E11" s="25"/>
      <c r="F11" s="25"/>
      <c r="G11" s="25"/>
      <c r="H11" s="25"/>
      <c r="I11" s="25"/>
      <c r="J11" s="25"/>
      <c r="K11" s="25"/>
      <c r="L11" s="25"/>
      <c r="M11" s="25"/>
      <c r="N11" s="25"/>
      <c r="O11" s="25"/>
      <c r="P11" s="25"/>
      <c r="Q11" s="25"/>
      <c r="R11" s="25"/>
      <c r="S11" s="25"/>
      <c r="T11" s="25"/>
      <c r="U11" s="25"/>
      <c r="V11" s="25"/>
      <c r="W11" s="25"/>
      <c r="X11" s="25"/>
      <c r="Y11" s="25"/>
      <c r="Z11" s="26"/>
    </row>
    <row r="12" ht="21.75" hidden="1" customHeight="1">
      <c r="A12" s="32" t="s">
        <v>19</v>
      </c>
      <c r="B12" s="33">
        <v>0.5</v>
      </c>
      <c r="C12" s="34" t="s">
        <v>20</v>
      </c>
      <c r="D12" s="7"/>
      <c r="E12" s="7"/>
      <c r="F12" s="7"/>
      <c r="G12" s="7"/>
      <c r="H12" s="7"/>
      <c r="I12" s="7"/>
      <c r="J12" s="7"/>
      <c r="K12" s="7"/>
      <c r="L12" s="7"/>
      <c r="M12" s="7"/>
      <c r="N12" s="7"/>
      <c r="O12" s="7"/>
      <c r="P12" s="7"/>
      <c r="Q12" s="7"/>
      <c r="R12" s="7"/>
      <c r="S12" s="7"/>
      <c r="T12" s="7"/>
      <c r="U12" s="7"/>
      <c r="V12" s="7"/>
      <c r="W12" s="7"/>
      <c r="X12" s="7"/>
      <c r="Y12" s="7"/>
      <c r="Z12" s="8"/>
    </row>
    <row r="13" ht="15.0" customHeight="1">
      <c r="A13" s="35" t="s">
        <v>21</v>
      </c>
      <c r="B13" s="36"/>
      <c r="C13" s="36"/>
      <c r="D13" s="7"/>
      <c r="E13" s="7"/>
      <c r="F13" s="7"/>
      <c r="G13" s="7"/>
      <c r="H13" s="7"/>
      <c r="I13" s="7"/>
      <c r="J13" s="7"/>
      <c r="K13" s="7"/>
      <c r="L13" s="7"/>
      <c r="M13" s="7"/>
      <c r="N13" s="7"/>
      <c r="O13" s="7"/>
      <c r="P13" s="7"/>
      <c r="Q13" s="7"/>
      <c r="R13" s="7"/>
      <c r="S13" s="7"/>
      <c r="T13" s="7"/>
      <c r="U13" s="7"/>
      <c r="V13" s="7"/>
      <c r="W13" s="7"/>
      <c r="X13" s="7"/>
      <c r="Y13" s="7"/>
      <c r="Z13" s="8"/>
    </row>
    <row r="14" ht="35.25" customHeight="1">
      <c r="A14" s="37" t="s">
        <v>22</v>
      </c>
      <c r="B14" s="38" t="s">
        <v>23</v>
      </c>
      <c r="C14" s="24" t="s">
        <v>24</v>
      </c>
      <c r="D14" s="25"/>
      <c r="E14" s="25"/>
      <c r="F14" s="25"/>
      <c r="G14" s="25"/>
      <c r="H14" s="25"/>
      <c r="I14" s="25"/>
      <c r="J14" s="25"/>
      <c r="K14" s="25"/>
      <c r="L14" s="25"/>
      <c r="M14" s="25"/>
      <c r="N14" s="25"/>
      <c r="O14" s="25"/>
      <c r="P14" s="25"/>
      <c r="Q14" s="25"/>
      <c r="R14" s="25"/>
      <c r="S14" s="25"/>
      <c r="T14" s="25"/>
      <c r="U14" s="25"/>
      <c r="V14" s="25"/>
      <c r="W14" s="25"/>
      <c r="X14" s="25"/>
      <c r="Y14" s="25"/>
      <c r="Z14" s="26"/>
    </row>
    <row r="15" ht="46.5" customHeight="1">
      <c r="A15" s="37" t="s">
        <v>25</v>
      </c>
      <c r="B15" s="38" t="s">
        <v>26</v>
      </c>
      <c r="C15" s="24"/>
      <c r="D15" s="25"/>
      <c r="E15" s="25"/>
      <c r="F15" s="25"/>
      <c r="G15" s="25"/>
      <c r="H15" s="25"/>
      <c r="I15" s="25"/>
      <c r="J15" s="25"/>
      <c r="K15" s="25"/>
      <c r="L15" s="25"/>
      <c r="M15" s="25"/>
      <c r="N15" s="25"/>
      <c r="O15" s="25"/>
      <c r="P15" s="25"/>
      <c r="Q15" s="25"/>
      <c r="R15" s="25"/>
      <c r="S15" s="25"/>
      <c r="T15" s="25"/>
      <c r="U15" s="25"/>
      <c r="V15" s="25"/>
      <c r="W15" s="25"/>
      <c r="X15" s="25"/>
      <c r="Y15" s="25"/>
      <c r="Z15" s="26"/>
    </row>
    <row r="16" ht="46.5" customHeight="1">
      <c r="A16" s="39" t="s">
        <v>27</v>
      </c>
      <c r="B16" s="40" t="s">
        <v>28</v>
      </c>
      <c r="C16" s="41"/>
      <c r="D16" s="7"/>
      <c r="E16" s="7"/>
      <c r="F16" s="7"/>
      <c r="G16" s="7"/>
      <c r="H16" s="7"/>
      <c r="I16" s="7"/>
      <c r="J16" s="7"/>
      <c r="K16" s="7"/>
      <c r="L16" s="7"/>
      <c r="M16" s="7"/>
      <c r="N16" s="7"/>
      <c r="O16" s="7"/>
      <c r="P16" s="7"/>
      <c r="Q16" s="7"/>
      <c r="R16" s="7"/>
      <c r="S16" s="7"/>
      <c r="T16" s="7"/>
      <c r="U16" s="7"/>
      <c r="V16" s="7"/>
      <c r="W16" s="7"/>
      <c r="X16" s="7"/>
      <c r="Y16" s="7"/>
      <c r="Z16" s="8"/>
    </row>
    <row r="17" ht="46.5" customHeight="1">
      <c r="A17" s="39" t="str">
        <f>IF(B15="Long", "*  Breakout High", "*  Breakout Low")</f>
        <v>*  Breakout High</v>
      </c>
      <c r="B17" s="40">
        <v>285.59</v>
      </c>
      <c r="C17" s="41"/>
      <c r="D17" s="7"/>
      <c r="E17" s="7"/>
      <c r="F17" s="7"/>
      <c r="G17" s="7"/>
      <c r="H17" s="7"/>
      <c r="I17" s="7"/>
      <c r="J17" s="7"/>
      <c r="K17" s="7"/>
      <c r="L17" s="7"/>
      <c r="M17" s="7"/>
      <c r="N17" s="7"/>
      <c r="O17" s="7"/>
      <c r="P17" s="7"/>
      <c r="Q17" s="7"/>
      <c r="R17" s="7"/>
      <c r="S17" s="7"/>
      <c r="T17" s="7"/>
      <c r="U17" s="7"/>
      <c r="V17" s="7"/>
      <c r="W17" s="7"/>
      <c r="X17" s="7"/>
      <c r="Y17" s="7"/>
      <c r="Z17" s="8"/>
    </row>
    <row r="18" ht="46.5" customHeight="1">
      <c r="A18" s="42" t="str">
        <f>IF(B15="Long", "*  Confirmation High", "*  Confirmation Low")</f>
        <v>*  Confirmation High</v>
      </c>
      <c r="B18" s="43">
        <v>288.5</v>
      </c>
      <c r="C18" s="44" t="s">
        <v>29</v>
      </c>
      <c r="D18" s="7"/>
      <c r="E18" s="7"/>
      <c r="F18" s="7"/>
      <c r="G18" s="7"/>
      <c r="H18" s="7"/>
      <c r="I18" s="7"/>
      <c r="J18" s="7"/>
      <c r="K18" s="7"/>
      <c r="L18" s="7"/>
      <c r="M18" s="7"/>
      <c r="N18" s="7"/>
      <c r="O18" s="7"/>
      <c r="P18" s="7"/>
      <c r="Q18" s="7"/>
      <c r="R18" s="7"/>
      <c r="S18" s="7"/>
      <c r="T18" s="7"/>
      <c r="U18" s="7"/>
      <c r="V18" s="7"/>
      <c r="W18" s="7"/>
      <c r="X18" s="7"/>
      <c r="Y18" s="7"/>
      <c r="Z18" s="8"/>
    </row>
    <row r="19" ht="36.75" customHeight="1">
      <c r="A19" s="45" t="s">
        <v>30</v>
      </c>
      <c r="B19" s="46">
        <v>3.33</v>
      </c>
      <c r="C19" s="14" t="s">
        <v>31</v>
      </c>
      <c r="D19" s="7"/>
      <c r="E19" s="7"/>
      <c r="F19" s="7"/>
      <c r="G19" s="7"/>
      <c r="H19" s="7"/>
      <c r="I19" s="7"/>
      <c r="J19" s="7"/>
      <c r="K19" s="7"/>
      <c r="L19" s="7"/>
      <c r="M19" s="7"/>
      <c r="N19" s="7"/>
      <c r="O19" s="7"/>
      <c r="P19" s="7"/>
      <c r="Q19" s="7"/>
      <c r="R19" s="7"/>
      <c r="S19" s="7"/>
      <c r="T19" s="7"/>
      <c r="U19" s="7"/>
      <c r="V19" s="7"/>
      <c r="W19" s="7"/>
      <c r="X19" s="7"/>
      <c r="Y19" s="7"/>
      <c r="Z19" s="8"/>
    </row>
    <row r="20" ht="52.5" customHeight="1">
      <c r="A20" s="47" t="s">
        <v>32</v>
      </c>
      <c r="B20" s="48">
        <v>0.1</v>
      </c>
      <c r="C20" s="14"/>
      <c r="D20" s="7"/>
      <c r="E20" s="7"/>
      <c r="F20" s="7"/>
      <c r="G20" s="7"/>
      <c r="H20" s="7"/>
      <c r="I20" s="7"/>
      <c r="J20" s="7"/>
      <c r="K20" s="7"/>
      <c r="L20" s="7"/>
      <c r="M20" s="7"/>
      <c r="N20" s="7"/>
      <c r="O20" s="7"/>
      <c r="P20" s="7"/>
      <c r="Q20" s="7"/>
      <c r="R20" s="7"/>
      <c r="S20" s="7"/>
      <c r="T20" s="7"/>
      <c r="U20" s="7"/>
      <c r="V20" s="7"/>
      <c r="W20" s="7"/>
      <c r="X20" s="7"/>
      <c r="Y20" s="7"/>
      <c r="Z20" s="8"/>
    </row>
    <row r="21" ht="46.5" customHeight="1">
      <c r="A21" s="47" t="s">
        <v>33</v>
      </c>
      <c r="B21" s="49" t="s">
        <v>34</v>
      </c>
      <c r="C21" s="50" t="s">
        <v>35</v>
      </c>
      <c r="D21" s="7"/>
      <c r="E21" s="7"/>
      <c r="F21" s="7"/>
      <c r="G21" s="7"/>
      <c r="H21" s="7"/>
      <c r="I21" s="7"/>
      <c r="J21" s="7"/>
      <c r="K21" s="7"/>
      <c r="L21" s="7"/>
      <c r="M21" s="7"/>
      <c r="N21" s="7"/>
      <c r="O21" s="7"/>
      <c r="P21" s="7"/>
      <c r="Q21" s="7"/>
      <c r="R21" s="7"/>
      <c r="S21" s="7"/>
      <c r="T21" s="7"/>
      <c r="U21" s="7"/>
      <c r="V21" s="7"/>
      <c r="W21" s="7"/>
      <c r="X21" s="7"/>
      <c r="Y21" s="7"/>
      <c r="Z21" s="8"/>
    </row>
    <row r="22" ht="46.5" hidden="1" customHeight="1">
      <c r="A22" s="51" t="s">
        <v>36</v>
      </c>
      <c r="B22" s="52">
        <f>IF(AND(B19&gt;0, B20&gt;0), B20/B19,0)</f>
        <v>0.03003003003</v>
      </c>
      <c r="C22" s="14" t="s">
        <v>37</v>
      </c>
      <c r="D22" s="7"/>
      <c r="E22" s="7"/>
      <c r="F22" s="7"/>
      <c r="G22" s="7"/>
      <c r="H22" s="7"/>
      <c r="I22" s="7"/>
      <c r="J22" s="7"/>
      <c r="K22" s="7"/>
      <c r="L22" s="7"/>
      <c r="M22" s="7"/>
      <c r="N22" s="7"/>
      <c r="O22" s="7"/>
      <c r="P22" s="7"/>
      <c r="Q22" s="7"/>
      <c r="R22" s="7"/>
      <c r="S22" s="7"/>
      <c r="T22" s="7"/>
      <c r="U22" s="7"/>
      <c r="V22" s="7"/>
      <c r="W22" s="7"/>
      <c r="X22" s="7"/>
      <c r="Y22" s="7"/>
      <c r="Z22" s="8"/>
    </row>
    <row r="23" ht="46.5" hidden="1" customHeight="1">
      <c r="A23" s="51" t="s">
        <v>38</v>
      </c>
      <c r="B23" s="53">
        <f>IF(B18&lt;250,0.01,
 IF(B18&lt;=1000,0.05,
 IF(B18&lt;=5000,0.1,
 IF(B18&lt;=10000,0.5,
 IF(B18&lt;=20000,1,5)))))</f>
        <v>0.05</v>
      </c>
      <c r="C23" s="14" t="s">
        <v>39</v>
      </c>
      <c r="D23" s="7"/>
      <c r="E23" s="7"/>
      <c r="F23" s="7"/>
      <c r="G23" s="7"/>
      <c r="H23" s="7"/>
      <c r="I23" s="7"/>
      <c r="J23" s="7"/>
      <c r="K23" s="7"/>
      <c r="L23" s="7"/>
      <c r="M23" s="7"/>
      <c r="N23" s="7"/>
      <c r="O23" s="7"/>
      <c r="P23" s="7"/>
      <c r="Q23" s="7"/>
      <c r="R23" s="7"/>
      <c r="S23" s="7"/>
      <c r="T23" s="7"/>
      <c r="U23" s="7"/>
      <c r="V23" s="7"/>
      <c r="W23" s="7"/>
      <c r="X23" s="7"/>
      <c r="Y23" s="7"/>
      <c r="Z23" s="8"/>
    </row>
    <row r="24" ht="46.5" hidden="1" customHeight="1">
      <c r="A24" s="54" t="s">
        <v>40</v>
      </c>
      <c r="B24" s="53">
        <f>IF(B21="Breakout Candle", B17, B18)</f>
        <v>288.5</v>
      </c>
      <c r="C24" s="14"/>
      <c r="D24" s="7"/>
      <c r="E24" s="7"/>
      <c r="F24" s="7"/>
      <c r="G24" s="7"/>
      <c r="H24" s="7"/>
      <c r="I24" s="7"/>
      <c r="J24" s="7"/>
      <c r="K24" s="7"/>
      <c r="L24" s="7"/>
      <c r="M24" s="7"/>
      <c r="N24" s="7"/>
      <c r="O24" s="7"/>
      <c r="P24" s="7"/>
      <c r="Q24" s="7"/>
      <c r="R24" s="7"/>
      <c r="S24" s="7"/>
      <c r="T24" s="7"/>
      <c r="U24" s="7"/>
      <c r="V24" s="7"/>
      <c r="W24" s="7"/>
      <c r="X24" s="7"/>
      <c r="Y24" s="7"/>
      <c r="Z24" s="8"/>
    </row>
    <row r="25" ht="46.5" hidden="1" customHeight="1">
      <c r="A25" s="54" t="s">
        <v>41</v>
      </c>
      <c r="B25" s="55">
        <f>IF(B19&gt;0, ABS(B18-B17)/B19, 0)</f>
        <v>0.8738738739</v>
      </c>
      <c r="C25" s="14"/>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1" t="s">
        <v>42</v>
      </c>
      <c r="B26" s="53">
        <f>IF(ISNUMBER(B24),MROUND(IF(B15="Long",B24+B19*B10,B24-B19*B10),B23),0)</f>
        <v>288.55</v>
      </c>
      <c r="C26" s="14" t="s">
        <v>43</v>
      </c>
      <c r="D26" s="7"/>
      <c r="E26" s="7"/>
      <c r="F26" s="7"/>
      <c r="G26" s="7"/>
      <c r="H26" s="7"/>
      <c r="I26" s="7"/>
      <c r="J26" s="7"/>
      <c r="K26" s="7"/>
      <c r="L26" s="7"/>
      <c r="M26" s="7"/>
      <c r="N26" s="7"/>
      <c r="O26" s="7"/>
      <c r="P26" s="7"/>
      <c r="Q26" s="7"/>
      <c r="R26" s="7"/>
      <c r="S26" s="7"/>
      <c r="T26" s="7"/>
      <c r="U26" s="7"/>
      <c r="V26" s="7"/>
      <c r="W26" s="7"/>
      <c r="X26" s="7"/>
      <c r="Y26" s="7"/>
      <c r="Z26" s="8"/>
    </row>
    <row r="27" ht="46.5" customHeight="1">
      <c r="A27" s="56" t="str">
        <f>IF(B22&gt;0,
   IF(B22&gt;=B11,
      "⚠️ WARNING: Spread exceeds limit — position sizing blocked. Avoid this trade due to high slippage risk.",
      ""
   ),
   ""
)</f>
        <v/>
      </c>
      <c r="B27" s="6"/>
      <c r="C27" s="6"/>
      <c r="D27" s="7"/>
      <c r="E27" s="7"/>
      <c r="F27" s="7"/>
      <c r="G27" s="7"/>
      <c r="H27" s="7"/>
      <c r="I27" s="7"/>
      <c r="J27" s="7"/>
      <c r="K27" s="7"/>
      <c r="L27" s="7"/>
      <c r="M27" s="7"/>
      <c r="N27" s="7"/>
      <c r="O27" s="7"/>
      <c r="P27" s="7"/>
      <c r="Q27" s="7"/>
      <c r="R27" s="7"/>
      <c r="S27" s="7"/>
      <c r="T27" s="7"/>
      <c r="U27" s="7"/>
      <c r="V27" s="7"/>
      <c r="W27" s="7"/>
      <c r="X27" s="7"/>
      <c r="Y27" s="7"/>
      <c r="Z27" s="8"/>
    </row>
    <row r="28" ht="21.75" hidden="1" customHeight="1">
      <c r="A28" s="5" t="s">
        <v>44</v>
      </c>
      <c r="B28" s="6"/>
      <c r="C28" s="6"/>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15" t="s">
        <v>45</v>
      </c>
      <c r="B29" s="57">
        <f>FLOOR(B19*B7, 0.1)</f>
        <v>1.6</v>
      </c>
      <c r="C29" s="58" t="s">
        <v>46</v>
      </c>
      <c r="D29" s="7"/>
      <c r="E29" s="7"/>
      <c r="F29" s="7"/>
      <c r="G29" s="7"/>
      <c r="H29" s="7"/>
      <c r="I29" s="7"/>
      <c r="J29" s="7"/>
      <c r="K29" s="7"/>
      <c r="L29" s="7"/>
      <c r="M29" s="7"/>
      <c r="N29" s="7"/>
      <c r="O29" s="7"/>
      <c r="P29" s="7"/>
      <c r="Q29" s="7"/>
      <c r="R29" s="7"/>
      <c r="S29" s="7"/>
      <c r="T29" s="7"/>
      <c r="U29" s="7"/>
      <c r="V29" s="7"/>
      <c r="W29" s="7"/>
      <c r="X29" s="7"/>
      <c r="Y29" s="7"/>
      <c r="Z29" s="8"/>
    </row>
    <row r="30" ht="33.0" hidden="1" customHeight="1">
      <c r="A30" s="15" t="s">
        <v>47</v>
      </c>
      <c r="B30" s="57">
        <f>B4*B5</f>
        <v>10000</v>
      </c>
      <c r="C30" s="58" t="s">
        <v>48</v>
      </c>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15" t="s">
        <v>49</v>
      </c>
      <c r="B31" s="57">
        <f>B4*B6</f>
        <v>1900000</v>
      </c>
      <c r="C31" s="58" t="s">
        <v>50</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51</v>
      </c>
      <c r="B32" s="59">
        <f>IF(B29&gt;0,B30/B29,0)</f>
        <v>6250</v>
      </c>
      <c r="C32" s="58" t="s">
        <v>52</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53</v>
      </c>
      <c r="B33" s="59">
        <f>IF(B26&gt;0, B31/B26, 0)</f>
        <v>6584.647375</v>
      </c>
      <c r="C33" s="58" t="s">
        <v>54</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55</v>
      </c>
      <c r="B34" s="59">
        <f>MIN(B32,B33)</f>
        <v>6250</v>
      </c>
      <c r="C34" s="58" t="s">
        <v>56</v>
      </c>
      <c r="D34" s="7"/>
      <c r="E34" s="7"/>
      <c r="F34" s="7"/>
      <c r="G34" s="7"/>
      <c r="H34" s="7"/>
      <c r="I34" s="7"/>
      <c r="J34" s="7"/>
      <c r="K34" s="7"/>
      <c r="L34" s="7"/>
      <c r="M34" s="7"/>
      <c r="N34" s="7"/>
      <c r="O34" s="7"/>
      <c r="P34" s="7"/>
      <c r="Q34" s="7"/>
      <c r="R34" s="7"/>
      <c r="S34" s="7"/>
      <c r="T34" s="7"/>
      <c r="U34" s="7"/>
      <c r="V34" s="7"/>
      <c r="W34" s="7"/>
      <c r="X34" s="7"/>
      <c r="Y34" s="7"/>
      <c r="Z34" s="8"/>
    </row>
    <row r="35" ht="24.0" customHeight="1">
      <c r="A35" s="60" t="s">
        <v>57</v>
      </c>
      <c r="B35" s="6"/>
      <c r="C35" s="6"/>
      <c r="D35" s="7"/>
      <c r="E35" s="7"/>
      <c r="F35" s="7"/>
      <c r="G35" s="7"/>
      <c r="H35" s="7"/>
      <c r="I35" s="7"/>
      <c r="J35" s="7"/>
      <c r="K35" s="7"/>
      <c r="L35" s="7"/>
      <c r="M35" s="7"/>
      <c r="N35" s="7"/>
      <c r="O35" s="7"/>
      <c r="P35" s="7"/>
      <c r="Q35" s="7"/>
      <c r="R35" s="7"/>
      <c r="S35" s="7"/>
      <c r="T35" s="7"/>
      <c r="U35" s="7"/>
      <c r="V35" s="7"/>
      <c r="W35" s="7"/>
      <c r="X35" s="7"/>
      <c r="Y35" s="7"/>
      <c r="Z35" s="8"/>
    </row>
    <row r="36" ht="30.75" customHeight="1">
      <c r="A36" s="61" t="s">
        <v>58</v>
      </c>
      <c r="B36" s="62" t="str">
        <f>B14</f>
        <v>HUHTAMAKI</v>
      </c>
      <c r="C36" s="63"/>
      <c r="D36" s="7"/>
      <c r="E36" s="7"/>
      <c r="F36" s="7"/>
      <c r="G36" s="7"/>
      <c r="H36" s="7"/>
      <c r="I36" s="7"/>
      <c r="J36" s="7"/>
      <c r="K36" s="7"/>
      <c r="L36" s="7"/>
      <c r="M36" s="7"/>
      <c r="N36" s="7"/>
      <c r="O36" s="7"/>
      <c r="P36" s="7"/>
      <c r="Q36" s="7"/>
      <c r="R36" s="7"/>
      <c r="S36" s="7"/>
      <c r="T36" s="7"/>
      <c r="U36" s="7"/>
      <c r="V36" s="7"/>
      <c r="W36" s="7"/>
      <c r="X36" s="7"/>
      <c r="Y36" s="7"/>
      <c r="Z36" s="8"/>
    </row>
    <row r="37" ht="35.25" customHeight="1">
      <c r="A37" s="64" t="s">
        <v>59</v>
      </c>
      <c r="B37" s="65">
        <f>IF(AND(B19&gt;0,B20&gt;0,B20/B19&gt;=B11),"⚠️ N/A",IF(B34&gt;5, ROUND(B34/5, 0)*5, B34))</f>
        <v>6250</v>
      </c>
      <c r="C37" s="63" t="s">
        <v>60</v>
      </c>
      <c r="D37" s="7"/>
      <c r="E37" s="7"/>
      <c r="F37" s="7"/>
      <c r="G37" s="7"/>
      <c r="H37" s="7"/>
      <c r="I37" s="7"/>
      <c r="J37" s="7"/>
      <c r="K37" s="7"/>
      <c r="L37" s="7"/>
      <c r="M37" s="7"/>
      <c r="N37" s="7"/>
      <c r="O37" s="7"/>
      <c r="P37" s="7"/>
      <c r="Q37" s="7"/>
      <c r="R37" s="7"/>
      <c r="S37" s="7"/>
      <c r="T37" s="7"/>
      <c r="U37" s="7"/>
      <c r="V37" s="7"/>
      <c r="W37" s="7"/>
      <c r="X37" s="7"/>
      <c r="Y37" s="7"/>
      <c r="Z37" s="8"/>
    </row>
    <row r="38" ht="41.25" customHeight="1">
      <c r="A38" s="64" t="s">
        <v>61</v>
      </c>
      <c r="B38" s="66">
        <f>IF(AND(B19&gt;0,B20&gt;0,B20/B19&gt;=B11),"⚠️ N/A",B26)</f>
        <v>288.55</v>
      </c>
      <c r="C38" s="63" t="s">
        <v>62</v>
      </c>
      <c r="D38" s="7"/>
      <c r="E38" s="7"/>
      <c r="F38" s="7"/>
      <c r="G38" s="7"/>
      <c r="H38" s="7"/>
      <c r="I38" s="7"/>
      <c r="J38" s="7"/>
      <c r="K38" s="7"/>
      <c r="L38" s="7"/>
      <c r="M38" s="7"/>
      <c r="N38" s="7"/>
      <c r="O38" s="7"/>
      <c r="P38" s="7"/>
      <c r="Q38" s="7"/>
      <c r="R38" s="7"/>
      <c r="S38" s="7"/>
      <c r="T38" s="7"/>
      <c r="U38" s="7"/>
      <c r="V38" s="7"/>
      <c r="W38" s="7"/>
      <c r="X38" s="7"/>
      <c r="Y38" s="7"/>
      <c r="Z38" s="8"/>
    </row>
    <row r="39" ht="43.5" customHeight="1">
      <c r="A39" s="67" t="s">
        <v>63</v>
      </c>
      <c r="B39" s="66">
        <f>IF(ISNUMBER(B38),MROUND(IF(B15="Long",B38-B19,B38+B19),B23),"⚠️ N/A")</f>
        <v>285.2</v>
      </c>
      <c r="C39" s="68" t="s">
        <v>64</v>
      </c>
      <c r="D39" s="7"/>
      <c r="E39" s="7"/>
      <c r="F39" s="7"/>
      <c r="G39" s="7"/>
      <c r="H39" s="7"/>
      <c r="I39" s="7"/>
      <c r="J39" s="7"/>
      <c r="K39" s="7"/>
      <c r="L39" s="7"/>
      <c r="M39" s="7"/>
      <c r="N39" s="7"/>
      <c r="O39" s="7"/>
      <c r="P39" s="7"/>
      <c r="Q39" s="7"/>
      <c r="R39" s="7"/>
      <c r="S39" s="7"/>
      <c r="T39" s="7"/>
      <c r="U39" s="7"/>
      <c r="V39" s="7"/>
      <c r="W39" s="7"/>
      <c r="X39" s="7"/>
      <c r="Y39" s="7"/>
      <c r="Z39" s="8"/>
    </row>
    <row r="40" ht="43.5" customHeight="1">
      <c r="A40" s="64" t="s">
        <v>65</v>
      </c>
      <c r="B40" s="66">
        <f>IF(AND(B19&gt;0,B20&gt;0,B20/B19&gt;=B11),"⚠️ N/A",MROUND(IF(B15="Long",B26-B29,B26+B29),B23))</f>
        <v>286.95</v>
      </c>
      <c r="C40" s="63" t="s">
        <v>66</v>
      </c>
      <c r="D40" s="7"/>
      <c r="E40" s="7"/>
      <c r="F40" s="7"/>
      <c r="G40" s="7"/>
      <c r="H40" s="7"/>
      <c r="I40" s="7"/>
      <c r="J40" s="7"/>
      <c r="K40" s="7"/>
      <c r="L40" s="7"/>
      <c r="M40" s="7"/>
      <c r="N40" s="7"/>
      <c r="O40" s="7"/>
      <c r="P40" s="7"/>
      <c r="Q40" s="7"/>
      <c r="R40" s="7"/>
      <c r="S40" s="7"/>
      <c r="T40" s="7"/>
      <c r="U40" s="7"/>
      <c r="V40" s="7"/>
      <c r="W40" s="7"/>
      <c r="X40" s="7"/>
      <c r="Y40" s="7"/>
      <c r="Z40" s="8"/>
    </row>
    <row r="41" ht="43.5" customHeight="1">
      <c r="A41" s="64" t="s">
        <v>67</v>
      </c>
      <c r="B41" s="66">
        <f>IF(AND(B19&gt;0,B20&gt;0,B20/B19&gt;=B11),"⚠️ N/A",IF(B15="Long",CEILING(B38+B8*B29,B23),FLOOR(B38-B8*B29,B23)))</f>
        <v>294.15</v>
      </c>
      <c r="C41" s="63" t="s">
        <v>68</v>
      </c>
      <c r="D41" s="7"/>
      <c r="E41" s="7"/>
      <c r="F41" s="7"/>
      <c r="G41" s="7"/>
      <c r="H41" s="7"/>
      <c r="I41" s="7"/>
      <c r="J41" s="7"/>
      <c r="K41" s="7"/>
      <c r="L41" s="7"/>
      <c r="M41" s="7"/>
      <c r="N41" s="7"/>
      <c r="O41" s="7"/>
      <c r="P41" s="7"/>
      <c r="Q41" s="7"/>
      <c r="R41" s="7"/>
      <c r="S41" s="7"/>
      <c r="T41" s="7"/>
      <c r="U41" s="7"/>
      <c r="V41" s="7"/>
      <c r="W41" s="7"/>
      <c r="X41" s="7"/>
      <c r="Y41" s="7"/>
      <c r="Z41" s="8"/>
    </row>
    <row r="42" ht="51.0" customHeight="1">
      <c r="A42" s="64" t="s">
        <v>69</v>
      </c>
      <c r="B42" s="66">
        <f>IF(AND(B19&gt;0,B20&gt;0,B20/B19&gt;=B11),"⚠️ N/A",IF(B15="Long",CEILING(B38+B29*B9,B23),FLOOR(B38-B29*B9,B23)))</f>
        <v>299.75</v>
      </c>
      <c r="C42" s="68" t="s">
        <v>70</v>
      </c>
      <c r="D42" s="7"/>
      <c r="E42" s="7"/>
      <c r="F42" s="7"/>
      <c r="G42" s="7"/>
      <c r="H42" s="7"/>
      <c r="I42" s="7"/>
      <c r="J42" s="7"/>
      <c r="K42" s="7"/>
      <c r="L42" s="7"/>
      <c r="M42" s="7"/>
      <c r="N42" s="7"/>
      <c r="O42" s="7"/>
      <c r="P42" s="7"/>
      <c r="Q42" s="7"/>
      <c r="R42" s="7"/>
      <c r="S42" s="7"/>
      <c r="T42" s="7"/>
      <c r="U42" s="7"/>
      <c r="V42" s="7"/>
      <c r="W42" s="7"/>
      <c r="X42" s="7"/>
      <c r="Y42" s="7"/>
      <c r="Z42" s="8"/>
    </row>
    <row r="43" ht="36.0" customHeight="1">
      <c r="A43" s="64" t="s">
        <v>71</v>
      </c>
      <c r="B43" s="65">
        <f>IF(AND(B19&gt;0,B20&gt;0,B20/B19&gt;=B11),"⚠️ N/A",ROUND(B12*B37,0))</f>
        <v>3125</v>
      </c>
      <c r="C43" s="68" t="s">
        <v>72</v>
      </c>
      <c r="D43" s="7"/>
      <c r="E43" s="7"/>
      <c r="F43" s="7"/>
      <c r="G43" s="7"/>
      <c r="H43" s="7"/>
      <c r="I43" s="7"/>
      <c r="J43" s="7"/>
      <c r="K43" s="7"/>
      <c r="L43" s="7"/>
      <c r="M43" s="7"/>
      <c r="N43" s="7"/>
      <c r="O43" s="7"/>
      <c r="P43" s="7"/>
      <c r="Q43" s="7"/>
      <c r="R43" s="7"/>
      <c r="S43" s="7"/>
      <c r="T43" s="7"/>
      <c r="U43" s="7"/>
      <c r="V43" s="7"/>
      <c r="W43" s="7"/>
      <c r="X43" s="7"/>
      <c r="Y43" s="7"/>
      <c r="Z43" s="8"/>
    </row>
    <row r="44" ht="36.0" customHeight="1">
      <c r="A44" s="64" t="s">
        <v>73</v>
      </c>
      <c r="B44" s="65">
        <f>IF(AND(B19&gt;0,B20&gt;0,B20/B19&gt;=B11),"⚠️ N/A",B37-B43)</f>
        <v>3125</v>
      </c>
      <c r="C44" s="68" t="s">
        <v>74</v>
      </c>
      <c r="D44" s="7"/>
      <c r="E44" s="7"/>
      <c r="F44" s="7"/>
      <c r="G44" s="7"/>
      <c r="H44" s="7"/>
      <c r="I44" s="7"/>
      <c r="J44" s="7"/>
      <c r="K44" s="7"/>
      <c r="L44" s="7"/>
      <c r="M44" s="7"/>
      <c r="N44" s="7"/>
      <c r="O44" s="7"/>
      <c r="P44" s="7"/>
      <c r="Q44" s="7"/>
      <c r="R44" s="7"/>
      <c r="S44" s="7"/>
      <c r="T44" s="7"/>
      <c r="U44" s="7"/>
      <c r="V44" s="7"/>
      <c r="W44" s="7"/>
      <c r="X44" s="7"/>
      <c r="Y44" s="7"/>
      <c r="Z44" s="8"/>
    </row>
    <row r="45" ht="36.0" customHeight="1">
      <c r="A45" s="67" t="s">
        <v>75</v>
      </c>
      <c r="B45" s="69">
        <f>IF(AND(B19&gt;0,B20&gt;0,B20/B19&gt;=B11),"⚠️ N/A",IF(B15="Long",ROUND((B38-B40)*B37,0),ROUND((B40-B38)*B37,0)))</f>
        <v>10000</v>
      </c>
      <c r="C45" s="63" t="s">
        <v>76</v>
      </c>
      <c r="D45" s="7"/>
      <c r="E45" s="7"/>
      <c r="F45" s="7"/>
      <c r="G45" s="7"/>
      <c r="H45" s="7"/>
      <c r="I45" s="7"/>
      <c r="J45" s="7"/>
      <c r="K45" s="7"/>
      <c r="L45" s="7"/>
      <c r="M45" s="7"/>
      <c r="N45" s="7"/>
      <c r="O45" s="7"/>
      <c r="P45" s="7"/>
      <c r="Q45" s="7"/>
      <c r="R45" s="7"/>
      <c r="S45" s="7"/>
      <c r="T45" s="7"/>
      <c r="U45" s="7"/>
      <c r="V45" s="7"/>
      <c r="W45" s="7"/>
      <c r="X45" s="7"/>
      <c r="Y45" s="7"/>
      <c r="Z45" s="8"/>
    </row>
    <row r="46" ht="36.0" customHeight="1">
      <c r="A46" s="67" t="s">
        <v>77</v>
      </c>
      <c r="B46" s="70">
        <f>IF(AND(B19&gt;0,B20&gt;0,B20/B19&gt;=B11),"⚠️ N/A",IF(B16="Long",ROUND((B39-B38)*B37,0),ROUND((B38-B39)*B37,0)))</f>
        <v>20938</v>
      </c>
      <c r="C46" s="68" t="s">
        <v>78</v>
      </c>
      <c r="D46" s="7"/>
      <c r="E46" s="7"/>
      <c r="F46" s="7"/>
      <c r="G46" s="7"/>
      <c r="H46" s="7"/>
      <c r="I46" s="7"/>
      <c r="J46" s="7"/>
      <c r="K46" s="7"/>
      <c r="L46" s="7"/>
      <c r="M46" s="7"/>
      <c r="N46" s="7"/>
      <c r="O46" s="7"/>
      <c r="P46" s="7"/>
      <c r="Q46" s="7"/>
      <c r="R46" s="7"/>
      <c r="S46" s="7"/>
      <c r="T46" s="7"/>
      <c r="U46" s="7"/>
      <c r="V46" s="7"/>
      <c r="W46" s="7"/>
      <c r="X46" s="7"/>
      <c r="Y46" s="7"/>
      <c r="Z46" s="8"/>
    </row>
    <row r="47" ht="36.0" customHeight="1">
      <c r="A47" s="61" t="s">
        <v>79</v>
      </c>
      <c r="B47" s="71">
        <f>IF(AND(B19&gt;0,B20&gt;0,B20/B19&gt;=B11),"⚠️ N/A",IF(B15="Long",(B41-B38)*B37,(B38-B41)*B37))</f>
        <v>35000</v>
      </c>
      <c r="C47" s="63" t="s">
        <v>80</v>
      </c>
      <c r="D47" s="7"/>
      <c r="E47" s="7"/>
      <c r="F47" s="7"/>
      <c r="G47" s="7"/>
      <c r="H47" s="7"/>
      <c r="I47" s="7"/>
      <c r="J47" s="7"/>
      <c r="K47" s="7"/>
      <c r="L47" s="7"/>
      <c r="M47" s="7"/>
      <c r="N47" s="7"/>
      <c r="O47" s="7"/>
      <c r="P47" s="7"/>
      <c r="Q47" s="7"/>
      <c r="R47" s="7"/>
      <c r="S47" s="7"/>
      <c r="T47" s="7"/>
      <c r="U47" s="7"/>
      <c r="V47" s="7"/>
      <c r="W47" s="7"/>
      <c r="X47" s="7"/>
      <c r="Y47" s="7"/>
      <c r="Z47" s="8"/>
    </row>
    <row r="48" ht="36.0" customHeight="1">
      <c r="A48" s="72" t="s">
        <v>81</v>
      </c>
      <c r="B48" s="73">
        <f>IF(AND(B19&gt;0,B20&gt;0,B20/B19&gt;=B11),"⚠️ N/A",IF(B15="Long",(B41-B38)*B43+(B42-B38)*B44,(B38-B41)*B43+(B38-B42)*B44))</f>
        <v>52500</v>
      </c>
      <c r="C48" s="68" t="s">
        <v>82</v>
      </c>
      <c r="D48" s="7"/>
      <c r="E48" s="7"/>
      <c r="F48" s="7"/>
      <c r="G48" s="7"/>
      <c r="H48" s="7"/>
      <c r="I48" s="7"/>
      <c r="J48" s="7"/>
      <c r="K48" s="7"/>
      <c r="L48" s="7"/>
      <c r="M48" s="7"/>
      <c r="N48" s="7"/>
      <c r="O48" s="7"/>
      <c r="P48" s="7"/>
      <c r="Q48" s="7"/>
      <c r="R48" s="7"/>
      <c r="S48" s="7"/>
      <c r="T48" s="7"/>
      <c r="U48" s="7"/>
      <c r="V48" s="7"/>
      <c r="W48" s="7"/>
      <c r="X48" s="7"/>
      <c r="Y48" s="7"/>
      <c r="Z48" s="8"/>
    </row>
    <row r="49" ht="21.75" customHeight="1">
      <c r="A49" s="74"/>
      <c r="B49" s="75"/>
      <c r="C49" s="63"/>
      <c r="D49" s="7"/>
      <c r="E49" s="7"/>
      <c r="F49" s="7"/>
      <c r="G49" s="7"/>
      <c r="H49" s="7"/>
      <c r="I49" s="7"/>
      <c r="J49" s="7"/>
      <c r="K49" s="7"/>
      <c r="L49" s="7"/>
      <c r="M49" s="7"/>
      <c r="N49" s="7"/>
      <c r="O49" s="7"/>
      <c r="P49" s="7"/>
      <c r="Q49" s="7"/>
      <c r="R49" s="7"/>
      <c r="S49" s="7"/>
      <c r="T49" s="7"/>
      <c r="U49" s="7"/>
      <c r="V49" s="7"/>
      <c r="W49" s="7"/>
      <c r="X49" s="7"/>
      <c r="Y49" s="7"/>
      <c r="Z49" s="8"/>
    </row>
    <row r="50" ht="21.75" customHeight="1">
      <c r="A50" s="74"/>
      <c r="B50" s="75"/>
      <c r="C50" s="63"/>
      <c r="D50" s="7"/>
      <c r="E50" s="7"/>
      <c r="F50" s="7"/>
      <c r="G50" s="7"/>
      <c r="H50" s="7"/>
      <c r="I50" s="7"/>
      <c r="J50" s="7"/>
      <c r="K50" s="7"/>
      <c r="L50" s="7"/>
      <c r="M50" s="7"/>
      <c r="N50" s="7"/>
      <c r="O50" s="7"/>
      <c r="P50" s="7"/>
      <c r="Q50" s="7"/>
      <c r="R50" s="7"/>
      <c r="S50" s="7"/>
      <c r="T50" s="7"/>
      <c r="U50" s="7"/>
      <c r="V50" s="7"/>
      <c r="W50" s="7"/>
      <c r="X50" s="7"/>
      <c r="Y50" s="7"/>
      <c r="Z50" s="8"/>
    </row>
    <row r="51" ht="21.75" customHeight="1">
      <c r="A51" s="74"/>
      <c r="B51" s="75"/>
      <c r="C51" s="63"/>
      <c r="D51" s="7"/>
      <c r="E51" s="7"/>
      <c r="F51" s="7"/>
      <c r="G51" s="7"/>
      <c r="H51" s="7"/>
      <c r="I51" s="7"/>
      <c r="J51" s="7"/>
      <c r="K51" s="7"/>
      <c r="L51" s="7"/>
      <c r="M51" s="7"/>
      <c r="N51" s="7"/>
      <c r="O51" s="7"/>
      <c r="P51" s="7"/>
      <c r="Q51" s="7"/>
      <c r="R51" s="7"/>
      <c r="S51" s="7"/>
      <c r="T51" s="7"/>
      <c r="U51" s="7"/>
      <c r="V51" s="7"/>
      <c r="W51" s="7"/>
      <c r="X51" s="7"/>
      <c r="Y51" s="7"/>
      <c r="Z51" s="8"/>
    </row>
    <row r="52" ht="15.75" customHeight="1">
      <c r="A52" s="74"/>
      <c r="B52" s="75"/>
      <c r="C52" s="63"/>
      <c r="D52" s="7"/>
      <c r="E52" s="7"/>
      <c r="F52" s="7"/>
      <c r="G52" s="7"/>
      <c r="H52" s="7"/>
      <c r="I52" s="7"/>
      <c r="J52" s="7"/>
      <c r="K52" s="7"/>
      <c r="L52" s="7"/>
      <c r="M52" s="7"/>
      <c r="N52" s="7"/>
      <c r="O52" s="7"/>
      <c r="P52" s="7"/>
      <c r="Q52" s="7"/>
      <c r="R52" s="7"/>
      <c r="S52" s="7"/>
      <c r="T52" s="7"/>
      <c r="U52" s="7"/>
      <c r="V52" s="7"/>
      <c r="W52" s="7"/>
      <c r="X52" s="7"/>
      <c r="Y52" s="7"/>
      <c r="Z52" s="8"/>
    </row>
    <row r="53" ht="15.75" customHeight="1">
      <c r="A53" s="74"/>
      <c r="B53" s="75"/>
      <c r="C53" s="63"/>
      <c r="D53" s="7"/>
      <c r="E53" s="7"/>
      <c r="F53" s="7"/>
      <c r="G53" s="7"/>
      <c r="H53" s="7"/>
      <c r="I53" s="7"/>
      <c r="J53" s="7"/>
      <c r="K53" s="7"/>
      <c r="L53" s="7"/>
      <c r="M53" s="7"/>
      <c r="N53" s="7"/>
      <c r="O53" s="7"/>
      <c r="P53" s="7"/>
      <c r="Q53" s="7"/>
      <c r="R53" s="7"/>
      <c r="S53" s="7"/>
      <c r="T53" s="7"/>
      <c r="U53" s="7"/>
      <c r="V53" s="7"/>
      <c r="W53" s="7"/>
      <c r="X53" s="7"/>
      <c r="Y53" s="7"/>
      <c r="Z53" s="8"/>
    </row>
    <row r="54" ht="15.75" customHeight="1">
      <c r="A54" s="74"/>
      <c r="B54" s="75"/>
      <c r="C54" s="63"/>
      <c r="D54" s="7"/>
      <c r="E54" s="7"/>
      <c r="F54" s="7"/>
      <c r="G54" s="7"/>
      <c r="H54" s="7"/>
      <c r="I54" s="7"/>
      <c r="J54" s="7"/>
      <c r="K54" s="7"/>
      <c r="L54" s="7"/>
      <c r="M54" s="7"/>
      <c r="N54" s="7"/>
      <c r="O54" s="7"/>
      <c r="P54" s="7"/>
      <c r="Q54" s="7"/>
      <c r="R54" s="7"/>
      <c r="S54" s="7"/>
      <c r="T54" s="7"/>
      <c r="U54" s="7"/>
      <c r="V54" s="7"/>
      <c r="W54" s="7"/>
      <c r="X54" s="7"/>
      <c r="Y54" s="7"/>
      <c r="Z54" s="8"/>
    </row>
    <row r="55" ht="15.75" customHeight="1">
      <c r="A55" s="74"/>
      <c r="B55" s="75"/>
      <c r="C55" s="63"/>
      <c r="D55" s="7"/>
      <c r="E55" s="7"/>
      <c r="F55" s="7"/>
      <c r="G55" s="7"/>
      <c r="H55" s="7"/>
      <c r="I55" s="7"/>
      <c r="J55" s="7"/>
      <c r="K55" s="7"/>
      <c r="L55" s="7"/>
      <c r="M55" s="7"/>
      <c r="N55" s="7"/>
      <c r="O55" s="7"/>
      <c r="P55" s="7"/>
      <c r="Q55" s="7"/>
      <c r="R55" s="7"/>
      <c r="S55" s="7"/>
      <c r="T55" s="7"/>
      <c r="U55" s="7"/>
      <c r="V55" s="7"/>
      <c r="W55" s="7"/>
      <c r="X55" s="7"/>
      <c r="Y55" s="7"/>
      <c r="Z55" s="8"/>
    </row>
    <row r="56" ht="15.75" customHeight="1">
      <c r="A56" s="74"/>
      <c r="B56" s="75"/>
      <c r="C56" s="63"/>
      <c r="D56" s="7"/>
      <c r="E56" s="7"/>
      <c r="F56" s="7"/>
      <c r="G56" s="7"/>
      <c r="H56" s="7"/>
      <c r="I56" s="7"/>
      <c r="J56" s="7"/>
      <c r="K56" s="7"/>
      <c r="L56" s="7"/>
      <c r="M56" s="7"/>
      <c r="N56" s="7"/>
      <c r="O56" s="7"/>
      <c r="P56" s="7"/>
      <c r="Q56" s="7"/>
      <c r="R56" s="7"/>
      <c r="S56" s="7"/>
      <c r="T56" s="7"/>
      <c r="U56" s="7"/>
      <c r="V56" s="7"/>
      <c r="W56" s="7"/>
      <c r="X56" s="7"/>
      <c r="Y56" s="7"/>
      <c r="Z56" s="8"/>
    </row>
    <row r="57" ht="15.75" customHeight="1">
      <c r="A57" s="74"/>
      <c r="B57" s="75"/>
      <c r="C57" s="63"/>
      <c r="D57" s="7"/>
      <c r="E57" s="7"/>
      <c r="F57" s="7"/>
      <c r="G57" s="7"/>
      <c r="H57" s="7"/>
      <c r="I57" s="7"/>
      <c r="J57" s="7"/>
      <c r="K57" s="7"/>
      <c r="L57" s="7"/>
      <c r="M57" s="7"/>
      <c r="N57" s="7"/>
      <c r="O57" s="7"/>
      <c r="P57" s="7"/>
      <c r="Q57" s="7"/>
      <c r="R57" s="7"/>
      <c r="S57" s="7"/>
      <c r="T57" s="7"/>
      <c r="U57" s="7"/>
      <c r="V57" s="7"/>
      <c r="W57" s="7"/>
      <c r="X57" s="7"/>
      <c r="Y57" s="7"/>
      <c r="Z57" s="8"/>
    </row>
    <row r="58" ht="15.75" customHeight="1">
      <c r="A58" s="74"/>
      <c r="B58" s="75"/>
      <c r="C58" s="63"/>
      <c r="D58" s="7"/>
      <c r="E58" s="7"/>
      <c r="F58" s="7"/>
      <c r="G58" s="7"/>
      <c r="H58" s="7"/>
      <c r="I58" s="7"/>
      <c r="J58" s="7"/>
      <c r="K58" s="7"/>
      <c r="L58" s="7"/>
      <c r="M58" s="7"/>
      <c r="N58" s="7"/>
      <c r="O58" s="7"/>
      <c r="P58" s="7"/>
      <c r="Q58" s="7"/>
      <c r="R58" s="7"/>
      <c r="S58" s="7"/>
      <c r="T58" s="7"/>
      <c r="U58" s="7"/>
      <c r="V58" s="7"/>
      <c r="W58" s="7"/>
      <c r="X58" s="7"/>
      <c r="Y58" s="7"/>
      <c r="Z58" s="8"/>
    </row>
    <row r="59" ht="15.75" customHeight="1">
      <c r="A59" s="74"/>
      <c r="B59" s="75"/>
      <c r="C59" s="63"/>
      <c r="D59" s="7"/>
      <c r="E59" s="7"/>
      <c r="F59" s="7"/>
      <c r="G59" s="7"/>
      <c r="H59" s="7"/>
      <c r="I59" s="7"/>
      <c r="J59" s="7"/>
      <c r="K59" s="7"/>
      <c r="L59" s="7"/>
      <c r="M59" s="7"/>
      <c r="N59" s="7"/>
      <c r="O59" s="7"/>
      <c r="P59" s="7"/>
      <c r="Q59" s="7"/>
      <c r="R59" s="7"/>
      <c r="S59" s="7"/>
      <c r="T59" s="7"/>
      <c r="U59" s="7"/>
      <c r="V59" s="7"/>
      <c r="W59" s="7"/>
      <c r="X59" s="7"/>
      <c r="Y59" s="7"/>
      <c r="Z59" s="8"/>
    </row>
    <row r="60" ht="15.75" customHeight="1">
      <c r="A60" s="74"/>
      <c r="B60" s="75"/>
      <c r="C60" s="63"/>
      <c r="D60" s="7"/>
      <c r="E60" s="7"/>
      <c r="F60" s="7"/>
      <c r="G60" s="7"/>
      <c r="H60" s="7"/>
      <c r="I60" s="7"/>
      <c r="J60" s="7"/>
      <c r="K60" s="7"/>
      <c r="L60" s="7"/>
      <c r="M60" s="7"/>
      <c r="N60" s="7"/>
      <c r="O60" s="7"/>
      <c r="P60" s="7"/>
      <c r="Q60" s="7"/>
      <c r="R60" s="7"/>
      <c r="S60" s="7"/>
      <c r="T60" s="7"/>
      <c r="U60" s="7"/>
      <c r="V60" s="7"/>
      <c r="W60" s="7"/>
      <c r="X60" s="7"/>
      <c r="Y60" s="7"/>
      <c r="Z60" s="8"/>
    </row>
    <row r="61" ht="15.75" customHeight="1">
      <c r="A61" s="74"/>
      <c r="B61" s="75"/>
      <c r="C61" s="63"/>
      <c r="D61" s="7"/>
      <c r="E61" s="7"/>
      <c r="F61" s="7"/>
      <c r="G61" s="7"/>
      <c r="H61" s="7"/>
      <c r="I61" s="7"/>
      <c r="J61" s="7"/>
      <c r="K61" s="7"/>
      <c r="L61" s="7"/>
      <c r="M61" s="7"/>
      <c r="N61" s="7"/>
      <c r="O61" s="7"/>
      <c r="P61" s="7"/>
      <c r="Q61" s="7"/>
      <c r="R61" s="7"/>
      <c r="S61" s="7"/>
      <c r="T61" s="7"/>
      <c r="U61" s="7"/>
      <c r="V61" s="7"/>
      <c r="W61" s="7"/>
      <c r="X61" s="7"/>
      <c r="Y61" s="7"/>
      <c r="Z61" s="8"/>
    </row>
    <row r="62" ht="15.75" customHeight="1">
      <c r="A62" s="74"/>
      <c r="B62" s="75"/>
      <c r="C62" s="63"/>
      <c r="D62" s="7"/>
      <c r="E62" s="7"/>
      <c r="F62" s="7"/>
      <c r="G62" s="7"/>
      <c r="H62" s="7"/>
      <c r="I62" s="7"/>
      <c r="J62" s="7"/>
      <c r="K62" s="7"/>
      <c r="L62" s="7"/>
      <c r="M62" s="7"/>
      <c r="N62" s="7"/>
      <c r="O62" s="7"/>
      <c r="P62" s="7"/>
      <c r="Q62" s="7"/>
      <c r="R62" s="7"/>
      <c r="S62" s="7"/>
      <c r="T62" s="7"/>
      <c r="U62" s="7"/>
      <c r="V62" s="7"/>
      <c r="W62" s="7"/>
      <c r="X62" s="7"/>
      <c r="Y62" s="7"/>
      <c r="Z62" s="8"/>
    </row>
    <row r="63" ht="15.75" customHeight="1">
      <c r="A63" s="74"/>
      <c r="B63" s="75"/>
      <c r="C63" s="63"/>
      <c r="D63" s="7"/>
      <c r="E63" s="7"/>
      <c r="F63" s="7"/>
      <c r="G63" s="7"/>
      <c r="H63" s="7"/>
      <c r="I63" s="7"/>
      <c r="J63" s="7"/>
      <c r="K63" s="7"/>
      <c r="L63" s="7"/>
      <c r="M63" s="7"/>
      <c r="N63" s="7"/>
      <c r="O63" s="7"/>
      <c r="P63" s="7"/>
      <c r="Q63" s="7"/>
      <c r="R63" s="7"/>
      <c r="S63" s="7"/>
      <c r="T63" s="7"/>
      <c r="U63" s="7"/>
      <c r="V63" s="7"/>
      <c r="W63" s="7"/>
      <c r="X63" s="7"/>
      <c r="Y63" s="7"/>
      <c r="Z63" s="8"/>
    </row>
    <row r="64" ht="15.75" customHeight="1">
      <c r="A64" s="74"/>
      <c r="B64" s="75"/>
      <c r="C64" s="63"/>
      <c r="D64" s="7"/>
      <c r="E64" s="7"/>
      <c r="F64" s="7"/>
      <c r="G64" s="7"/>
      <c r="H64" s="7"/>
      <c r="I64" s="7"/>
      <c r="J64" s="7"/>
      <c r="K64" s="7"/>
      <c r="L64" s="7"/>
      <c r="M64" s="7"/>
      <c r="N64" s="7"/>
      <c r="O64" s="7"/>
      <c r="P64" s="7"/>
      <c r="Q64" s="7"/>
      <c r="R64" s="7"/>
      <c r="S64" s="7"/>
      <c r="T64" s="7"/>
      <c r="U64" s="7"/>
      <c r="V64" s="7"/>
      <c r="W64" s="7"/>
      <c r="X64" s="7"/>
      <c r="Y64" s="7"/>
      <c r="Z64" s="8"/>
    </row>
    <row r="65" ht="15.75" customHeight="1">
      <c r="A65" s="74"/>
      <c r="B65" s="75"/>
      <c r="C65" s="63"/>
      <c r="D65" s="7"/>
      <c r="E65" s="7"/>
      <c r="F65" s="7"/>
      <c r="G65" s="7"/>
      <c r="H65" s="7"/>
      <c r="I65" s="7"/>
      <c r="J65" s="7"/>
      <c r="K65" s="7"/>
      <c r="L65" s="7"/>
      <c r="M65" s="7"/>
      <c r="N65" s="7"/>
      <c r="O65" s="7"/>
      <c r="P65" s="7"/>
      <c r="Q65" s="7"/>
      <c r="R65" s="7"/>
      <c r="S65" s="7"/>
      <c r="T65" s="7"/>
      <c r="U65" s="7"/>
      <c r="V65" s="7"/>
      <c r="W65" s="7"/>
      <c r="X65" s="7"/>
      <c r="Y65" s="7"/>
      <c r="Z65" s="8"/>
    </row>
    <row r="66" ht="15.75" customHeight="1">
      <c r="A66" s="74"/>
      <c r="B66" s="75"/>
      <c r="C66" s="63"/>
      <c r="D66" s="7"/>
      <c r="E66" s="7"/>
      <c r="F66" s="7"/>
      <c r="G66" s="7"/>
      <c r="H66" s="7"/>
      <c r="I66" s="7"/>
      <c r="J66" s="7"/>
      <c r="K66" s="7"/>
      <c r="L66" s="7"/>
      <c r="M66" s="7"/>
      <c r="N66" s="7"/>
      <c r="O66" s="7"/>
      <c r="P66" s="7"/>
      <c r="Q66" s="7"/>
      <c r="R66" s="7"/>
      <c r="S66" s="7"/>
      <c r="T66" s="7"/>
      <c r="U66" s="7"/>
      <c r="V66" s="7"/>
      <c r="W66" s="7"/>
      <c r="X66" s="7"/>
      <c r="Y66" s="7"/>
      <c r="Z66" s="8"/>
    </row>
    <row r="67" ht="15.75" customHeight="1">
      <c r="A67" s="74"/>
      <c r="B67" s="75"/>
      <c r="C67" s="63"/>
      <c r="D67" s="7"/>
      <c r="E67" s="7"/>
      <c r="F67" s="7"/>
      <c r="G67" s="7"/>
      <c r="H67" s="7"/>
      <c r="I67" s="7"/>
      <c r="J67" s="7"/>
      <c r="K67" s="7"/>
      <c r="L67" s="7"/>
      <c r="M67" s="7"/>
      <c r="N67" s="7"/>
      <c r="O67" s="7"/>
      <c r="P67" s="7"/>
      <c r="Q67" s="7"/>
      <c r="R67" s="7"/>
      <c r="S67" s="7"/>
      <c r="T67" s="7"/>
      <c r="U67" s="7"/>
      <c r="V67" s="7"/>
      <c r="W67" s="7"/>
      <c r="X67" s="7"/>
      <c r="Y67" s="7"/>
      <c r="Z67" s="8"/>
    </row>
    <row r="68" ht="15.75" customHeight="1">
      <c r="A68" s="74"/>
      <c r="B68" s="75"/>
      <c r="C68" s="63"/>
      <c r="D68" s="7"/>
      <c r="E68" s="7"/>
      <c r="F68" s="7"/>
      <c r="G68" s="7"/>
      <c r="H68" s="7"/>
      <c r="I68" s="7"/>
      <c r="J68" s="7"/>
      <c r="K68" s="7"/>
      <c r="L68" s="7"/>
      <c r="M68" s="7"/>
      <c r="N68" s="7"/>
      <c r="O68" s="7"/>
      <c r="P68" s="7"/>
      <c r="Q68" s="7"/>
      <c r="R68" s="7"/>
      <c r="S68" s="7"/>
      <c r="T68" s="7"/>
      <c r="U68" s="7"/>
      <c r="V68" s="7"/>
      <c r="W68" s="7"/>
      <c r="X68" s="7"/>
      <c r="Y68" s="7"/>
      <c r="Z68" s="8"/>
    </row>
    <row r="69" ht="15.75" customHeight="1">
      <c r="A69" s="74"/>
      <c r="B69" s="75"/>
      <c r="C69" s="63"/>
      <c r="D69" s="7"/>
      <c r="E69" s="7"/>
      <c r="F69" s="7"/>
      <c r="G69" s="7"/>
      <c r="H69" s="7"/>
      <c r="I69" s="7"/>
      <c r="J69" s="7"/>
      <c r="K69" s="7"/>
      <c r="L69" s="7"/>
      <c r="M69" s="7"/>
      <c r="N69" s="7"/>
      <c r="O69" s="7"/>
      <c r="P69" s="7"/>
      <c r="Q69" s="7"/>
      <c r="R69" s="7"/>
      <c r="S69" s="7"/>
      <c r="T69" s="7"/>
      <c r="U69" s="7"/>
      <c r="V69" s="7"/>
      <c r="W69" s="7"/>
      <c r="X69" s="7"/>
      <c r="Y69" s="7"/>
      <c r="Z69" s="8"/>
    </row>
    <row r="70" ht="15.75" customHeight="1">
      <c r="A70" s="74"/>
      <c r="B70" s="75"/>
      <c r="C70" s="63"/>
      <c r="D70" s="7"/>
      <c r="E70" s="7"/>
      <c r="F70" s="7"/>
      <c r="G70" s="7"/>
      <c r="H70" s="7"/>
      <c r="I70" s="7"/>
      <c r="J70" s="7"/>
      <c r="K70" s="7"/>
      <c r="L70" s="7"/>
      <c r="M70" s="7"/>
      <c r="N70" s="7"/>
      <c r="O70" s="7"/>
      <c r="P70" s="7"/>
      <c r="Q70" s="7"/>
      <c r="R70" s="7"/>
      <c r="S70" s="7"/>
      <c r="T70" s="7"/>
      <c r="U70" s="7"/>
      <c r="V70" s="7"/>
      <c r="W70" s="7"/>
      <c r="X70" s="7"/>
      <c r="Y70" s="7"/>
      <c r="Z70" s="8"/>
    </row>
    <row r="71" ht="15.75" customHeight="1">
      <c r="A71" s="74"/>
      <c r="B71" s="75"/>
      <c r="C71" s="63"/>
      <c r="D71" s="7"/>
      <c r="E71" s="7"/>
      <c r="F71" s="7"/>
      <c r="G71" s="7"/>
      <c r="H71" s="7"/>
      <c r="I71" s="7"/>
      <c r="J71" s="7"/>
      <c r="K71" s="7"/>
      <c r="L71" s="7"/>
      <c r="M71" s="7"/>
      <c r="N71" s="7"/>
      <c r="O71" s="7"/>
      <c r="P71" s="7"/>
      <c r="Q71" s="7"/>
      <c r="R71" s="7"/>
      <c r="S71" s="7"/>
      <c r="T71" s="7"/>
      <c r="U71" s="7"/>
      <c r="V71" s="7"/>
      <c r="W71" s="7"/>
      <c r="X71" s="7"/>
      <c r="Y71" s="7"/>
      <c r="Z71" s="8"/>
    </row>
    <row r="72" ht="15.75" customHeight="1">
      <c r="A72" s="74"/>
      <c r="B72" s="75"/>
      <c r="C72" s="63"/>
      <c r="D72" s="7"/>
      <c r="E72" s="7"/>
      <c r="F72" s="7"/>
      <c r="G72" s="7"/>
      <c r="H72" s="7"/>
      <c r="I72" s="7"/>
      <c r="J72" s="7"/>
      <c r="K72" s="7"/>
      <c r="L72" s="7"/>
      <c r="M72" s="7"/>
      <c r="N72" s="7"/>
      <c r="O72" s="7"/>
      <c r="P72" s="7"/>
      <c r="Q72" s="7"/>
      <c r="R72" s="7"/>
      <c r="S72" s="7"/>
      <c r="T72" s="7"/>
      <c r="U72" s="7"/>
      <c r="V72" s="7"/>
      <c r="W72" s="7"/>
      <c r="X72" s="7"/>
      <c r="Y72" s="7"/>
      <c r="Z72" s="8"/>
    </row>
    <row r="73" ht="15.75" customHeight="1">
      <c r="A73" s="74"/>
      <c r="B73" s="75"/>
      <c r="C73" s="63"/>
      <c r="D73" s="7"/>
      <c r="E73" s="7"/>
      <c r="F73" s="7"/>
      <c r="G73" s="7"/>
      <c r="H73" s="7"/>
      <c r="I73" s="7"/>
      <c r="J73" s="7"/>
      <c r="K73" s="7"/>
      <c r="L73" s="7"/>
      <c r="M73" s="7"/>
      <c r="N73" s="7"/>
      <c r="O73" s="7"/>
      <c r="P73" s="7"/>
      <c r="Q73" s="7"/>
      <c r="R73" s="7"/>
      <c r="S73" s="7"/>
      <c r="T73" s="7"/>
      <c r="U73" s="7"/>
      <c r="V73" s="7"/>
      <c r="W73" s="7"/>
      <c r="X73" s="7"/>
      <c r="Y73" s="7"/>
      <c r="Z73" s="8"/>
    </row>
    <row r="74" ht="15.75" customHeight="1">
      <c r="A74" s="74"/>
      <c r="B74" s="75"/>
      <c r="C74" s="63"/>
      <c r="D74" s="7"/>
      <c r="E74" s="7"/>
      <c r="F74" s="7"/>
      <c r="G74" s="7"/>
      <c r="H74" s="7"/>
      <c r="I74" s="7"/>
      <c r="J74" s="7"/>
      <c r="K74" s="7"/>
      <c r="L74" s="7"/>
      <c r="M74" s="7"/>
      <c r="N74" s="7"/>
      <c r="O74" s="7"/>
      <c r="P74" s="7"/>
      <c r="Q74" s="7"/>
      <c r="R74" s="7"/>
      <c r="S74" s="7"/>
      <c r="T74" s="7"/>
      <c r="U74" s="7"/>
      <c r="V74" s="7"/>
      <c r="W74" s="7"/>
      <c r="X74" s="7"/>
      <c r="Y74" s="7"/>
      <c r="Z74" s="8"/>
    </row>
    <row r="75" ht="15.75" customHeight="1">
      <c r="A75" s="74"/>
      <c r="B75" s="75"/>
      <c r="C75" s="63"/>
      <c r="D75" s="7"/>
      <c r="E75" s="7"/>
      <c r="F75" s="7"/>
      <c r="G75" s="7"/>
      <c r="H75" s="7"/>
      <c r="I75" s="7"/>
      <c r="J75" s="7"/>
      <c r="K75" s="7"/>
      <c r="L75" s="7"/>
      <c r="M75" s="7"/>
      <c r="N75" s="7"/>
      <c r="O75" s="7"/>
      <c r="P75" s="7"/>
      <c r="Q75" s="7"/>
      <c r="R75" s="7"/>
      <c r="S75" s="7"/>
      <c r="T75" s="7"/>
      <c r="U75" s="7"/>
      <c r="V75" s="7"/>
      <c r="W75" s="7"/>
      <c r="X75" s="7"/>
      <c r="Y75" s="7"/>
      <c r="Z75" s="8"/>
    </row>
    <row r="76" ht="15.75" customHeight="1">
      <c r="A76" s="74"/>
      <c r="B76" s="75"/>
      <c r="C76" s="63"/>
      <c r="D76" s="7"/>
      <c r="E76" s="7"/>
      <c r="F76" s="7"/>
      <c r="G76" s="7"/>
      <c r="H76" s="7"/>
      <c r="I76" s="7"/>
      <c r="J76" s="7"/>
      <c r="K76" s="7"/>
      <c r="L76" s="7"/>
      <c r="M76" s="7"/>
      <c r="N76" s="7"/>
      <c r="O76" s="7"/>
      <c r="P76" s="7"/>
      <c r="Q76" s="7"/>
      <c r="R76" s="7"/>
      <c r="S76" s="7"/>
      <c r="T76" s="7"/>
      <c r="U76" s="7"/>
      <c r="V76" s="7"/>
      <c r="W76" s="7"/>
      <c r="X76" s="7"/>
      <c r="Y76" s="7"/>
      <c r="Z76" s="8"/>
    </row>
    <row r="77" ht="15.75" customHeight="1">
      <c r="A77" s="74"/>
      <c r="B77" s="75"/>
      <c r="C77" s="63"/>
      <c r="D77" s="7"/>
      <c r="E77" s="7"/>
      <c r="F77" s="7"/>
      <c r="G77" s="7"/>
      <c r="H77" s="7"/>
      <c r="I77" s="7"/>
      <c r="J77" s="7"/>
      <c r="K77" s="7"/>
      <c r="L77" s="7"/>
      <c r="M77" s="7"/>
      <c r="N77" s="7"/>
      <c r="O77" s="7"/>
      <c r="P77" s="7"/>
      <c r="Q77" s="7"/>
      <c r="R77" s="7"/>
      <c r="S77" s="7"/>
      <c r="T77" s="7"/>
      <c r="U77" s="7"/>
      <c r="V77" s="7"/>
      <c r="W77" s="7"/>
      <c r="X77" s="7"/>
      <c r="Y77" s="7"/>
      <c r="Z77" s="8"/>
    </row>
    <row r="78" ht="15.75" customHeight="1">
      <c r="A78" s="74"/>
      <c r="B78" s="75"/>
      <c r="C78" s="63"/>
      <c r="D78" s="7"/>
      <c r="E78" s="7"/>
      <c r="F78" s="7"/>
      <c r="G78" s="7"/>
      <c r="H78" s="7"/>
      <c r="I78" s="7"/>
      <c r="J78" s="7"/>
      <c r="K78" s="7"/>
      <c r="L78" s="7"/>
      <c r="M78" s="7"/>
      <c r="N78" s="7"/>
      <c r="O78" s="7"/>
      <c r="P78" s="7"/>
      <c r="Q78" s="7"/>
      <c r="R78" s="7"/>
      <c r="S78" s="7"/>
      <c r="T78" s="7"/>
      <c r="U78" s="7"/>
      <c r="V78" s="7"/>
      <c r="W78" s="7"/>
      <c r="X78" s="7"/>
      <c r="Y78" s="7"/>
      <c r="Z78" s="8"/>
    </row>
    <row r="79" ht="15.75" customHeight="1">
      <c r="A79" s="74"/>
      <c r="B79" s="75"/>
      <c r="C79" s="63"/>
      <c r="D79" s="7"/>
      <c r="E79" s="7"/>
      <c r="F79" s="7"/>
      <c r="G79" s="7"/>
      <c r="H79" s="7"/>
      <c r="I79" s="7"/>
      <c r="J79" s="7"/>
      <c r="K79" s="7"/>
      <c r="L79" s="7"/>
      <c r="M79" s="7"/>
      <c r="N79" s="7"/>
      <c r="O79" s="7"/>
      <c r="P79" s="7"/>
      <c r="Q79" s="7"/>
      <c r="R79" s="7"/>
      <c r="S79" s="7"/>
      <c r="T79" s="7"/>
      <c r="U79" s="7"/>
      <c r="V79" s="7"/>
      <c r="W79" s="7"/>
      <c r="X79" s="7"/>
      <c r="Y79" s="7"/>
      <c r="Z79" s="8"/>
    </row>
    <row r="80" ht="15.75" customHeight="1">
      <c r="A80" s="74"/>
      <c r="B80" s="75"/>
      <c r="C80" s="63"/>
      <c r="D80" s="7"/>
      <c r="E80" s="7"/>
      <c r="F80" s="7"/>
      <c r="G80" s="7"/>
      <c r="H80" s="7"/>
      <c r="I80" s="7"/>
      <c r="J80" s="7"/>
      <c r="K80" s="7"/>
      <c r="L80" s="7"/>
      <c r="M80" s="7"/>
      <c r="N80" s="7"/>
      <c r="O80" s="7"/>
      <c r="P80" s="7"/>
      <c r="Q80" s="7"/>
      <c r="R80" s="7"/>
      <c r="S80" s="7"/>
      <c r="T80" s="7"/>
      <c r="U80" s="7"/>
      <c r="V80" s="7"/>
      <c r="W80" s="7"/>
      <c r="X80" s="7"/>
      <c r="Y80" s="7"/>
      <c r="Z80" s="8"/>
    </row>
    <row r="81" ht="15.75" customHeight="1">
      <c r="A81" s="74"/>
      <c r="B81" s="75"/>
      <c r="C81" s="63"/>
      <c r="D81" s="7"/>
      <c r="E81" s="7"/>
      <c r="F81" s="7"/>
      <c r="G81" s="7"/>
      <c r="H81" s="7"/>
      <c r="I81" s="7"/>
      <c r="J81" s="7"/>
      <c r="K81" s="7"/>
      <c r="L81" s="7"/>
      <c r="M81" s="7"/>
      <c r="N81" s="7"/>
      <c r="O81" s="7"/>
      <c r="P81" s="7"/>
      <c r="Q81" s="7"/>
      <c r="R81" s="7"/>
      <c r="S81" s="7"/>
      <c r="T81" s="7"/>
      <c r="U81" s="7"/>
      <c r="V81" s="7"/>
      <c r="W81" s="7"/>
      <c r="X81" s="7"/>
      <c r="Y81" s="7"/>
      <c r="Z81" s="8"/>
    </row>
    <row r="82" ht="15.75" customHeight="1">
      <c r="A82" s="74"/>
      <c r="B82" s="75"/>
      <c r="C82" s="63"/>
      <c r="D82" s="7"/>
      <c r="E82" s="7"/>
      <c r="F82" s="7"/>
      <c r="G82" s="7"/>
      <c r="H82" s="7"/>
      <c r="I82" s="7"/>
      <c r="J82" s="7"/>
      <c r="K82" s="7"/>
      <c r="L82" s="7"/>
      <c r="M82" s="7"/>
      <c r="N82" s="7"/>
      <c r="O82" s="7"/>
      <c r="P82" s="7"/>
      <c r="Q82" s="7"/>
      <c r="R82" s="7"/>
      <c r="S82" s="7"/>
      <c r="T82" s="7"/>
      <c r="U82" s="7"/>
      <c r="V82" s="7"/>
      <c r="W82" s="7"/>
      <c r="X82" s="7"/>
      <c r="Y82" s="7"/>
      <c r="Z82" s="8"/>
    </row>
    <row r="83" ht="15.75" customHeight="1">
      <c r="A83" s="74"/>
      <c r="B83" s="75"/>
      <c r="C83" s="63"/>
      <c r="D83" s="7"/>
      <c r="E83" s="7"/>
      <c r="F83" s="7"/>
      <c r="G83" s="7"/>
      <c r="H83" s="7"/>
      <c r="I83" s="7"/>
      <c r="J83" s="7"/>
      <c r="K83" s="7"/>
      <c r="L83" s="7"/>
      <c r="M83" s="7"/>
      <c r="N83" s="7"/>
      <c r="O83" s="7"/>
      <c r="P83" s="7"/>
      <c r="Q83" s="7"/>
      <c r="R83" s="7"/>
      <c r="S83" s="7"/>
      <c r="T83" s="7"/>
      <c r="U83" s="7"/>
      <c r="V83" s="7"/>
      <c r="W83" s="7"/>
      <c r="X83" s="7"/>
      <c r="Y83" s="7"/>
      <c r="Z83" s="8"/>
    </row>
    <row r="84" ht="15.75" customHeight="1">
      <c r="A84" s="74"/>
      <c r="B84" s="75"/>
      <c r="C84" s="63"/>
      <c r="D84" s="7"/>
      <c r="E84" s="7"/>
      <c r="F84" s="7"/>
      <c r="G84" s="7"/>
      <c r="H84" s="7"/>
      <c r="I84" s="7"/>
      <c r="J84" s="7"/>
      <c r="K84" s="7"/>
      <c r="L84" s="7"/>
      <c r="M84" s="7"/>
      <c r="N84" s="7"/>
      <c r="O84" s="7"/>
      <c r="P84" s="7"/>
      <c r="Q84" s="7"/>
      <c r="R84" s="7"/>
      <c r="S84" s="7"/>
      <c r="T84" s="7"/>
      <c r="U84" s="7"/>
      <c r="V84" s="7"/>
      <c r="W84" s="7"/>
      <c r="X84" s="7"/>
      <c r="Y84" s="7"/>
      <c r="Z84" s="8"/>
    </row>
    <row r="85" ht="15.75" customHeight="1">
      <c r="A85" s="74"/>
      <c r="B85" s="75"/>
      <c r="C85" s="63"/>
      <c r="D85" s="7"/>
      <c r="E85" s="7"/>
      <c r="F85" s="7"/>
      <c r="G85" s="7"/>
      <c r="H85" s="7"/>
      <c r="I85" s="7"/>
      <c r="J85" s="7"/>
      <c r="K85" s="7"/>
      <c r="L85" s="7"/>
      <c r="M85" s="7"/>
      <c r="N85" s="7"/>
      <c r="O85" s="7"/>
      <c r="P85" s="7"/>
      <c r="Q85" s="7"/>
      <c r="R85" s="7"/>
      <c r="S85" s="7"/>
      <c r="T85" s="7"/>
      <c r="U85" s="7"/>
      <c r="V85" s="7"/>
      <c r="W85" s="7"/>
      <c r="X85" s="7"/>
      <c r="Y85" s="7"/>
      <c r="Z85" s="8"/>
    </row>
    <row r="86" ht="15.75" customHeight="1">
      <c r="A86" s="74"/>
      <c r="B86" s="75"/>
      <c r="C86" s="63"/>
      <c r="D86" s="7"/>
      <c r="E86" s="7"/>
      <c r="F86" s="7"/>
      <c r="G86" s="7"/>
      <c r="H86" s="7"/>
      <c r="I86" s="7"/>
      <c r="J86" s="7"/>
      <c r="K86" s="7"/>
      <c r="L86" s="7"/>
      <c r="M86" s="7"/>
      <c r="N86" s="7"/>
      <c r="O86" s="7"/>
      <c r="P86" s="7"/>
      <c r="Q86" s="7"/>
      <c r="R86" s="7"/>
      <c r="S86" s="7"/>
      <c r="T86" s="7"/>
      <c r="U86" s="7"/>
      <c r="V86" s="7"/>
      <c r="W86" s="7"/>
      <c r="X86" s="7"/>
      <c r="Y86" s="7"/>
      <c r="Z86" s="8"/>
    </row>
    <row r="87" ht="15.75" customHeight="1">
      <c r="A87" s="74"/>
      <c r="B87" s="75"/>
      <c r="C87" s="63"/>
      <c r="D87" s="7"/>
      <c r="E87" s="7"/>
      <c r="F87" s="7"/>
      <c r="G87" s="7"/>
      <c r="H87" s="7"/>
      <c r="I87" s="7"/>
      <c r="J87" s="7"/>
      <c r="K87" s="7"/>
      <c r="L87" s="7"/>
      <c r="M87" s="7"/>
      <c r="N87" s="7"/>
      <c r="O87" s="7"/>
      <c r="P87" s="7"/>
      <c r="Q87" s="7"/>
      <c r="R87" s="7"/>
      <c r="S87" s="7"/>
      <c r="T87" s="7"/>
      <c r="U87" s="7"/>
      <c r="V87" s="7"/>
      <c r="W87" s="7"/>
      <c r="X87" s="7"/>
      <c r="Y87" s="7"/>
      <c r="Z87" s="8"/>
    </row>
    <row r="88" ht="15.75" customHeight="1">
      <c r="A88" s="74"/>
      <c r="B88" s="75"/>
      <c r="C88" s="63"/>
      <c r="D88" s="7"/>
      <c r="E88" s="7"/>
      <c r="F88" s="7"/>
      <c r="G88" s="7"/>
      <c r="H88" s="7"/>
      <c r="I88" s="7"/>
      <c r="J88" s="7"/>
      <c r="K88" s="7"/>
      <c r="L88" s="7"/>
      <c r="M88" s="7"/>
      <c r="N88" s="7"/>
      <c r="O88" s="7"/>
      <c r="P88" s="7"/>
      <c r="Q88" s="7"/>
      <c r="R88" s="7"/>
      <c r="S88" s="7"/>
      <c r="T88" s="7"/>
      <c r="U88" s="7"/>
      <c r="V88" s="7"/>
      <c r="W88" s="7"/>
      <c r="X88" s="7"/>
      <c r="Y88" s="7"/>
      <c r="Z88" s="8"/>
    </row>
    <row r="89" ht="15.75" customHeight="1">
      <c r="A89" s="74"/>
      <c r="B89" s="75"/>
      <c r="C89" s="63"/>
      <c r="D89" s="7"/>
      <c r="E89" s="7"/>
      <c r="F89" s="7"/>
      <c r="G89" s="7"/>
      <c r="H89" s="7"/>
      <c r="I89" s="7"/>
      <c r="J89" s="7"/>
      <c r="K89" s="7"/>
      <c r="L89" s="7"/>
      <c r="M89" s="7"/>
      <c r="N89" s="7"/>
      <c r="O89" s="7"/>
      <c r="P89" s="7"/>
      <c r="Q89" s="7"/>
      <c r="R89" s="7"/>
      <c r="S89" s="7"/>
      <c r="T89" s="7"/>
      <c r="U89" s="7"/>
      <c r="V89" s="7"/>
      <c r="W89" s="7"/>
      <c r="X89" s="7"/>
      <c r="Y89" s="7"/>
      <c r="Z89" s="8"/>
    </row>
    <row r="90" ht="15.75" customHeight="1">
      <c r="A90" s="74"/>
      <c r="B90" s="75"/>
      <c r="C90" s="63"/>
      <c r="D90" s="7"/>
      <c r="E90" s="7"/>
      <c r="F90" s="7"/>
      <c r="G90" s="7"/>
      <c r="H90" s="7"/>
      <c r="I90" s="7"/>
      <c r="J90" s="7"/>
      <c r="K90" s="7"/>
      <c r="L90" s="7"/>
      <c r="M90" s="7"/>
      <c r="N90" s="7"/>
      <c r="O90" s="7"/>
      <c r="P90" s="7"/>
      <c r="Q90" s="7"/>
      <c r="R90" s="7"/>
      <c r="S90" s="7"/>
      <c r="T90" s="7"/>
      <c r="U90" s="7"/>
      <c r="V90" s="7"/>
      <c r="W90" s="7"/>
      <c r="X90" s="7"/>
      <c r="Y90" s="7"/>
      <c r="Z90" s="8"/>
    </row>
    <row r="91" ht="15.75" customHeight="1">
      <c r="A91" s="74"/>
      <c r="B91" s="75"/>
      <c r="C91" s="63"/>
      <c r="D91" s="7"/>
      <c r="E91" s="7"/>
      <c r="F91" s="7"/>
      <c r="G91" s="7"/>
      <c r="H91" s="7"/>
      <c r="I91" s="7"/>
      <c r="J91" s="7"/>
      <c r="K91" s="7"/>
      <c r="L91" s="7"/>
      <c r="M91" s="7"/>
      <c r="N91" s="7"/>
      <c r="O91" s="7"/>
      <c r="P91" s="7"/>
      <c r="Q91" s="7"/>
      <c r="R91" s="7"/>
      <c r="S91" s="7"/>
      <c r="T91" s="7"/>
      <c r="U91" s="7"/>
      <c r="V91" s="7"/>
      <c r="W91" s="7"/>
      <c r="X91" s="7"/>
      <c r="Y91" s="7"/>
      <c r="Z91" s="8"/>
    </row>
    <row r="92" ht="15.75" customHeight="1">
      <c r="A92" s="74"/>
      <c r="B92" s="75"/>
      <c r="C92" s="63"/>
      <c r="D92" s="7"/>
      <c r="E92" s="7"/>
      <c r="F92" s="7"/>
      <c r="G92" s="7"/>
      <c r="H92" s="7"/>
      <c r="I92" s="7"/>
      <c r="J92" s="7"/>
      <c r="K92" s="7"/>
      <c r="L92" s="7"/>
      <c r="M92" s="7"/>
      <c r="N92" s="7"/>
      <c r="O92" s="7"/>
      <c r="P92" s="7"/>
      <c r="Q92" s="7"/>
      <c r="R92" s="7"/>
      <c r="S92" s="7"/>
      <c r="T92" s="7"/>
      <c r="U92" s="7"/>
      <c r="V92" s="7"/>
      <c r="W92" s="7"/>
      <c r="X92" s="7"/>
      <c r="Y92" s="7"/>
      <c r="Z92" s="8"/>
    </row>
    <row r="93" ht="15.75" customHeight="1">
      <c r="A93" s="74"/>
      <c r="B93" s="75"/>
      <c r="C93" s="63"/>
      <c r="D93" s="7"/>
      <c r="E93" s="7"/>
      <c r="F93" s="7"/>
      <c r="G93" s="7"/>
      <c r="H93" s="7"/>
      <c r="I93" s="7"/>
      <c r="J93" s="7"/>
      <c r="K93" s="7"/>
      <c r="L93" s="7"/>
      <c r="M93" s="7"/>
      <c r="N93" s="7"/>
      <c r="O93" s="7"/>
      <c r="P93" s="7"/>
      <c r="Q93" s="7"/>
      <c r="R93" s="7"/>
      <c r="S93" s="7"/>
      <c r="T93" s="7"/>
      <c r="U93" s="7"/>
      <c r="V93" s="7"/>
      <c r="W93" s="7"/>
      <c r="X93" s="7"/>
      <c r="Y93" s="7"/>
      <c r="Z93" s="8"/>
    </row>
    <row r="94" ht="15.75" customHeight="1">
      <c r="A94" s="74"/>
      <c r="B94" s="75"/>
      <c r="C94" s="63"/>
      <c r="D94" s="7"/>
      <c r="E94" s="7"/>
      <c r="F94" s="7"/>
      <c r="G94" s="7"/>
      <c r="H94" s="7"/>
      <c r="I94" s="7"/>
      <c r="J94" s="7"/>
      <c r="K94" s="7"/>
      <c r="L94" s="7"/>
      <c r="M94" s="7"/>
      <c r="N94" s="7"/>
      <c r="O94" s="7"/>
      <c r="P94" s="7"/>
      <c r="Q94" s="7"/>
      <c r="R94" s="7"/>
      <c r="S94" s="7"/>
      <c r="T94" s="7"/>
      <c r="U94" s="7"/>
      <c r="V94" s="7"/>
      <c r="W94" s="7"/>
      <c r="X94" s="7"/>
      <c r="Y94" s="7"/>
      <c r="Z94" s="8"/>
    </row>
    <row r="95" ht="15.75" customHeight="1">
      <c r="A95" s="74"/>
      <c r="B95" s="75"/>
      <c r="C95" s="63"/>
      <c r="D95" s="7"/>
      <c r="E95" s="7"/>
      <c r="F95" s="7"/>
      <c r="G95" s="7"/>
      <c r="H95" s="7"/>
      <c r="I95" s="7"/>
      <c r="J95" s="7"/>
      <c r="K95" s="7"/>
      <c r="L95" s="7"/>
      <c r="M95" s="7"/>
      <c r="N95" s="7"/>
      <c r="O95" s="7"/>
      <c r="P95" s="7"/>
      <c r="Q95" s="7"/>
      <c r="R95" s="7"/>
      <c r="S95" s="7"/>
      <c r="T95" s="7"/>
      <c r="U95" s="7"/>
      <c r="V95" s="7"/>
      <c r="W95" s="7"/>
      <c r="X95" s="7"/>
      <c r="Y95" s="7"/>
      <c r="Z95" s="8"/>
    </row>
    <row r="96" ht="15.75" customHeight="1">
      <c r="A96" s="74"/>
      <c r="B96" s="75"/>
      <c r="C96" s="63"/>
      <c r="D96" s="7"/>
      <c r="E96" s="7"/>
      <c r="F96" s="7"/>
      <c r="G96" s="7"/>
      <c r="H96" s="7"/>
      <c r="I96" s="7"/>
      <c r="J96" s="7"/>
      <c r="K96" s="7"/>
      <c r="L96" s="7"/>
      <c r="M96" s="7"/>
      <c r="N96" s="7"/>
      <c r="O96" s="7"/>
      <c r="P96" s="7"/>
      <c r="Q96" s="7"/>
      <c r="R96" s="7"/>
      <c r="S96" s="7"/>
      <c r="T96" s="7"/>
      <c r="U96" s="7"/>
      <c r="V96" s="7"/>
      <c r="W96" s="7"/>
      <c r="X96" s="7"/>
      <c r="Y96" s="7"/>
      <c r="Z96" s="8"/>
    </row>
    <row r="97" ht="15.75" customHeight="1">
      <c r="A97" s="74"/>
      <c r="B97" s="75"/>
      <c r="C97" s="63"/>
      <c r="D97" s="7"/>
      <c r="E97" s="7"/>
      <c r="F97" s="7"/>
      <c r="G97" s="7"/>
      <c r="H97" s="7"/>
      <c r="I97" s="7"/>
      <c r="J97" s="7"/>
      <c r="K97" s="7"/>
      <c r="L97" s="7"/>
      <c r="M97" s="7"/>
      <c r="N97" s="7"/>
      <c r="O97" s="7"/>
      <c r="P97" s="7"/>
      <c r="Q97" s="7"/>
      <c r="R97" s="7"/>
      <c r="S97" s="7"/>
      <c r="T97" s="7"/>
      <c r="U97" s="7"/>
      <c r="V97" s="7"/>
      <c r="W97" s="7"/>
      <c r="X97" s="7"/>
      <c r="Y97" s="7"/>
      <c r="Z97" s="8"/>
    </row>
    <row r="98" ht="15.75" customHeight="1">
      <c r="A98" s="74"/>
      <c r="B98" s="75"/>
      <c r="C98" s="63"/>
      <c r="D98" s="7"/>
      <c r="E98" s="7"/>
      <c r="F98" s="7"/>
      <c r="G98" s="7"/>
      <c r="H98" s="7"/>
      <c r="I98" s="7"/>
      <c r="J98" s="7"/>
      <c r="K98" s="7"/>
      <c r="L98" s="7"/>
      <c r="M98" s="7"/>
      <c r="N98" s="7"/>
      <c r="O98" s="7"/>
      <c r="P98" s="7"/>
      <c r="Q98" s="7"/>
      <c r="R98" s="7"/>
      <c r="S98" s="7"/>
      <c r="T98" s="7"/>
      <c r="U98" s="7"/>
      <c r="V98" s="7"/>
      <c r="W98" s="7"/>
      <c r="X98" s="7"/>
      <c r="Y98" s="7"/>
      <c r="Z98" s="8"/>
    </row>
    <row r="99" ht="15.75" customHeight="1">
      <c r="A99" s="74"/>
      <c r="B99" s="75"/>
      <c r="C99" s="63"/>
      <c r="D99" s="7"/>
      <c r="E99" s="7"/>
      <c r="F99" s="7"/>
      <c r="G99" s="7"/>
      <c r="H99" s="7"/>
      <c r="I99" s="7"/>
      <c r="J99" s="7"/>
      <c r="K99" s="7"/>
      <c r="L99" s="7"/>
      <c r="M99" s="7"/>
      <c r="N99" s="7"/>
      <c r="O99" s="7"/>
      <c r="P99" s="7"/>
      <c r="Q99" s="7"/>
      <c r="R99" s="7"/>
      <c r="S99" s="7"/>
      <c r="T99" s="7"/>
      <c r="U99" s="7"/>
      <c r="V99" s="7"/>
      <c r="W99" s="7"/>
      <c r="X99" s="7"/>
      <c r="Y99" s="7"/>
      <c r="Z99" s="8"/>
    </row>
    <row r="100" ht="15.75" customHeight="1">
      <c r="A100" s="74"/>
      <c r="B100" s="75"/>
      <c r="C100" s="63"/>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74"/>
      <c r="B101" s="75"/>
      <c r="C101" s="63"/>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74"/>
      <c r="B102" s="75"/>
      <c r="C102" s="63"/>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74"/>
      <c r="B103" s="75"/>
      <c r="C103" s="63"/>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74"/>
      <c r="B104" s="75"/>
      <c r="C104" s="63"/>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74"/>
      <c r="B105" s="75"/>
      <c r="C105" s="63"/>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74"/>
      <c r="B106" s="75"/>
      <c r="C106" s="63"/>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74"/>
      <c r="B107" s="75"/>
      <c r="C107" s="63"/>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74"/>
      <c r="B108" s="75"/>
      <c r="C108" s="63"/>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74"/>
      <c r="B109" s="75"/>
      <c r="C109" s="63"/>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74"/>
      <c r="B110" s="75"/>
      <c r="C110" s="63"/>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74"/>
      <c r="B111" s="75"/>
      <c r="C111" s="63"/>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74"/>
      <c r="B112" s="75"/>
      <c r="C112" s="63"/>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74"/>
      <c r="B113" s="75"/>
      <c r="C113" s="63"/>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74"/>
      <c r="B114" s="75"/>
      <c r="C114" s="63"/>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74"/>
      <c r="B115" s="75"/>
      <c r="C115" s="63"/>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74"/>
      <c r="B116" s="75"/>
      <c r="C116" s="63"/>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74"/>
      <c r="B117" s="75"/>
      <c r="C117" s="63"/>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74"/>
      <c r="B118" s="75"/>
      <c r="C118" s="63"/>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74"/>
      <c r="B119" s="75"/>
      <c r="C119" s="63"/>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74"/>
      <c r="B120" s="75"/>
      <c r="C120" s="63"/>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74"/>
      <c r="B121" s="75"/>
      <c r="C121" s="63"/>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74"/>
      <c r="B122" s="75"/>
      <c r="C122" s="63"/>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74"/>
      <c r="B123" s="75"/>
      <c r="C123" s="63"/>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74"/>
      <c r="B124" s="75"/>
      <c r="C124" s="63"/>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74"/>
      <c r="B125" s="75"/>
      <c r="C125" s="63"/>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74"/>
      <c r="B126" s="75"/>
      <c r="C126" s="63"/>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74"/>
      <c r="B127" s="75"/>
      <c r="C127" s="63"/>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74"/>
      <c r="B128" s="75"/>
      <c r="C128" s="63"/>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74"/>
      <c r="B129" s="75"/>
      <c r="C129" s="63"/>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74"/>
      <c r="B130" s="75"/>
      <c r="C130" s="63"/>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74"/>
      <c r="B131" s="75"/>
      <c r="C131" s="63"/>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74"/>
      <c r="B132" s="75"/>
      <c r="C132" s="63"/>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74"/>
      <c r="B133" s="75"/>
      <c r="C133" s="63"/>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74"/>
      <c r="B134" s="75"/>
      <c r="C134" s="63"/>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74"/>
      <c r="B135" s="75"/>
      <c r="C135" s="63"/>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74"/>
      <c r="B136" s="75"/>
      <c r="C136" s="63"/>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74"/>
      <c r="B137" s="75"/>
      <c r="C137" s="63"/>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74"/>
      <c r="B138" s="75"/>
      <c r="C138" s="63"/>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74"/>
      <c r="B139" s="75"/>
      <c r="C139" s="63"/>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74"/>
      <c r="B140" s="75"/>
      <c r="C140" s="63"/>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74"/>
      <c r="B141" s="75"/>
      <c r="C141" s="63"/>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74"/>
      <c r="B142" s="75"/>
      <c r="C142" s="63"/>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74"/>
      <c r="B143" s="75"/>
      <c r="C143" s="63"/>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74"/>
      <c r="B144" s="75"/>
      <c r="C144" s="63"/>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74"/>
      <c r="B145" s="75"/>
      <c r="C145" s="63"/>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74"/>
      <c r="B146" s="75"/>
      <c r="C146" s="63"/>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74"/>
      <c r="B147" s="75"/>
      <c r="C147" s="63"/>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74"/>
      <c r="B148" s="75"/>
      <c r="C148" s="63"/>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74"/>
      <c r="B149" s="75"/>
      <c r="C149" s="63"/>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74"/>
      <c r="B150" s="75"/>
      <c r="C150" s="63"/>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74"/>
      <c r="B151" s="75"/>
      <c r="C151" s="63"/>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74"/>
      <c r="B152" s="75"/>
      <c r="C152" s="63"/>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74"/>
      <c r="B153" s="75"/>
      <c r="C153" s="63"/>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74"/>
      <c r="B154" s="75"/>
      <c r="C154" s="63"/>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74"/>
      <c r="B155" s="75"/>
      <c r="C155" s="63"/>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74"/>
      <c r="B156" s="75"/>
      <c r="C156" s="63"/>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74"/>
      <c r="B157" s="75"/>
      <c r="C157" s="63"/>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74"/>
      <c r="B158" s="75"/>
      <c r="C158" s="63"/>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74"/>
      <c r="B159" s="75"/>
      <c r="C159" s="63"/>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74"/>
      <c r="B160" s="75"/>
      <c r="C160" s="63"/>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74"/>
      <c r="B161" s="75"/>
      <c r="C161" s="63"/>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74"/>
      <c r="B162" s="75"/>
      <c r="C162" s="63"/>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74"/>
      <c r="B163" s="75"/>
      <c r="C163" s="63"/>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74"/>
      <c r="B164" s="75"/>
      <c r="C164" s="63"/>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74"/>
      <c r="B165" s="75"/>
      <c r="C165" s="63"/>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74"/>
      <c r="B166" s="75"/>
      <c r="C166" s="63"/>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74"/>
      <c r="B167" s="75"/>
      <c r="C167" s="63"/>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74"/>
      <c r="B168" s="75"/>
      <c r="C168" s="63"/>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74"/>
      <c r="B169" s="75"/>
      <c r="C169" s="63"/>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74"/>
      <c r="B170" s="75"/>
      <c r="C170" s="63"/>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74"/>
      <c r="B171" s="75"/>
      <c r="C171" s="63"/>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74"/>
      <c r="B172" s="75"/>
      <c r="C172" s="63"/>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74"/>
      <c r="B173" s="75"/>
      <c r="C173" s="63"/>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74"/>
      <c r="B174" s="75"/>
      <c r="C174" s="63"/>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74"/>
      <c r="B175" s="75"/>
      <c r="C175" s="63"/>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74"/>
      <c r="B176" s="75"/>
      <c r="C176" s="63"/>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74"/>
      <c r="B177" s="75"/>
      <c r="C177" s="63"/>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74"/>
      <c r="B178" s="75"/>
      <c r="C178" s="63"/>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74"/>
      <c r="B179" s="75"/>
      <c r="C179" s="63"/>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74"/>
      <c r="B180" s="75"/>
      <c r="C180" s="63"/>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74"/>
      <c r="B181" s="75"/>
      <c r="C181" s="63"/>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74"/>
      <c r="B182" s="75"/>
      <c r="C182" s="63"/>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74"/>
      <c r="B183" s="75"/>
      <c r="C183" s="63"/>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74"/>
      <c r="B184" s="75"/>
      <c r="C184" s="63"/>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74"/>
      <c r="B185" s="75"/>
      <c r="C185" s="63"/>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74"/>
      <c r="B186" s="75"/>
      <c r="C186" s="63"/>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74"/>
      <c r="B187" s="75"/>
      <c r="C187" s="63"/>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74"/>
      <c r="B188" s="75"/>
      <c r="C188" s="63"/>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74"/>
      <c r="B189" s="75"/>
      <c r="C189" s="63"/>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74"/>
      <c r="B190" s="75"/>
      <c r="C190" s="63"/>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74"/>
      <c r="B191" s="75"/>
      <c r="C191" s="63"/>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74"/>
      <c r="B192" s="75"/>
      <c r="C192" s="63"/>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74"/>
      <c r="B193" s="75"/>
      <c r="C193" s="63"/>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74"/>
      <c r="B194" s="75"/>
      <c r="C194" s="63"/>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74"/>
      <c r="B195" s="75"/>
      <c r="C195" s="63"/>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74"/>
      <c r="B196" s="75"/>
      <c r="C196" s="63"/>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74"/>
      <c r="B197" s="75"/>
      <c r="C197" s="63"/>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74"/>
      <c r="B198" s="75"/>
      <c r="C198" s="63"/>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74"/>
      <c r="B199" s="75"/>
      <c r="C199" s="63"/>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74"/>
      <c r="B200" s="75"/>
      <c r="C200" s="63"/>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74"/>
      <c r="B201" s="75"/>
      <c r="C201" s="63"/>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74"/>
      <c r="B202" s="75"/>
      <c r="C202" s="63"/>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74"/>
      <c r="B203" s="75"/>
      <c r="C203" s="63"/>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74"/>
      <c r="B204" s="75"/>
      <c r="C204" s="63"/>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74"/>
      <c r="B205" s="75"/>
      <c r="C205" s="63"/>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74"/>
      <c r="B206" s="75"/>
      <c r="C206" s="63"/>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74"/>
      <c r="B207" s="75"/>
      <c r="C207" s="63"/>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74"/>
      <c r="B208" s="75"/>
      <c r="C208" s="63"/>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74"/>
      <c r="B209" s="75"/>
      <c r="C209" s="63"/>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74"/>
      <c r="B210" s="75"/>
      <c r="C210" s="63"/>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74"/>
      <c r="B211" s="75"/>
      <c r="C211" s="63"/>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74"/>
      <c r="B212" s="75"/>
      <c r="C212" s="63"/>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74"/>
      <c r="B213" s="75"/>
      <c r="C213" s="63"/>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74"/>
      <c r="B214" s="75"/>
      <c r="C214" s="63"/>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74"/>
      <c r="B215" s="75"/>
      <c r="C215" s="63"/>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74"/>
      <c r="B216" s="75"/>
      <c r="C216" s="63"/>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74"/>
      <c r="B217" s="75"/>
      <c r="C217" s="63"/>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74"/>
      <c r="B218" s="75"/>
      <c r="C218" s="63"/>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74"/>
      <c r="B219" s="75"/>
      <c r="C219" s="63"/>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74"/>
      <c r="B220" s="75"/>
      <c r="C220" s="63"/>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74"/>
      <c r="B221" s="75"/>
      <c r="C221" s="63"/>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74"/>
      <c r="B222" s="75"/>
      <c r="C222" s="63"/>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74"/>
      <c r="B223" s="75"/>
      <c r="C223" s="63"/>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74"/>
      <c r="B224" s="75"/>
      <c r="C224" s="63"/>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74"/>
      <c r="B225" s="75"/>
      <c r="C225" s="63"/>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74"/>
      <c r="B226" s="75"/>
      <c r="C226" s="63"/>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74"/>
      <c r="B227" s="75"/>
      <c r="C227" s="63"/>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74"/>
      <c r="B228" s="75"/>
      <c r="C228" s="63"/>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74"/>
      <c r="B229" s="75"/>
      <c r="C229" s="63"/>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74"/>
      <c r="B230" s="75"/>
      <c r="C230" s="63"/>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74"/>
      <c r="B231" s="75"/>
      <c r="C231" s="63"/>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74"/>
      <c r="B232" s="75"/>
      <c r="C232" s="63"/>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74"/>
      <c r="B233" s="75"/>
      <c r="C233" s="63"/>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74"/>
      <c r="B234" s="75"/>
      <c r="C234" s="63"/>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74"/>
      <c r="B235" s="75"/>
      <c r="C235" s="63"/>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74"/>
      <c r="B236" s="75"/>
      <c r="C236" s="63"/>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74"/>
      <c r="B237" s="75"/>
      <c r="C237" s="63"/>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74"/>
      <c r="B238" s="75"/>
      <c r="C238" s="63"/>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74"/>
      <c r="B239" s="75"/>
      <c r="C239" s="63"/>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74"/>
      <c r="B240" s="75"/>
      <c r="C240" s="63"/>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74"/>
      <c r="B241" s="75"/>
      <c r="C241" s="63"/>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74"/>
      <c r="B242" s="75"/>
      <c r="C242" s="63"/>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74"/>
      <c r="B243" s="75"/>
      <c r="C243" s="63"/>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74"/>
      <c r="B244" s="75"/>
      <c r="C244" s="63"/>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74"/>
      <c r="B245" s="75"/>
      <c r="C245" s="63"/>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74"/>
      <c r="B246" s="75"/>
      <c r="C246" s="63"/>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74"/>
      <c r="B247" s="75"/>
      <c r="C247" s="63"/>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76"/>
      <c r="B248" s="77"/>
      <c r="C248" s="77"/>
      <c r="D248" s="78"/>
      <c r="E248" s="78"/>
      <c r="F248" s="78"/>
      <c r="G248" s="78"/>
      <c r="H248" s="78"/>
      <c r="I248" s="78"/>
      <c r="J248" s="78"/>
      <c r="K248" s="78"/>
      <c r="L248" s="78"/>
      <c r="M248" s="78"/>
      <c r="N248" s="78"/>
      <c r="O248" s="78"/>
      <c r="P248" s="78"/>
      <c r="Q248" s="78"/>
      <c r="R248" s="78"/>
      <c r="S248" s="78"/>
      <c r="T248" s="78"/>
      <c r="U248" s="78"/>
      <c r="V248" s="78"/>
      <c r="W248" s="78"/>
      <c r="X248" s="78"/>
      <c r="Y248" s="78"/>
      <c r="Z248" s="8"/>
    </row>
    <row r="249" ht="15.75" customHeight="1">
      <c r="A249" s="78"/>
      <c r="B249" s="78"/>
      <c r="C249" s="78"/>
      <c r="D249" s="78"/>
      <c r="E249" s="78"/>
      <c r="F249" s="78"/>
      <c r="G249" s="78"/>
      <c r="H249" s="78"/>
      <c r="I249" s="78"/>
      <c r="J249" s="78"/>
      <c r="K249" s="78"/>
      <c r="L249" s="78"/>
      <c r="M249" s="78"/>
      <c r="N249" s="78"/>
      <c r="O249" s="78"/>
      <c r="P249" s="78"/>
      <c r="Q249" s="78"/>
      <c r="R249" s="78"/>
      <c r="S249" s="78"/>
      <c r="T249" s="78"/>
      <c r="U249" s="78"/>
      <c r="V249" s="78"/>
      <c r="W249" s="78"/>
      <c r="X249" s="78"/>
      <c r="Y249" s="78"/>
      <c r="Z249" s="78"/>
    </row>
    <row r="250" ht="15.75" customHeight="1">
      <c r="A250" s="78"/>
      <c r="B250" s="78"/>
      <c r="C250" s="78"/>
      <c r="D250" s="78"/>
      <c r="E250" s="78"/>
      <c r="F250" s="78"/>
      <c r="G250" s="78"/>
      <c r="H250" s="78"/>
      <c r="I250" s="78"/>
      <c r="J250" s="78"/>
      <c r="K250" s="78"/>
      <c r="L250" s="78"/>
      <c r="M250" s="78"/>
      <c r="N250" s="78"/>
      <c r="O250" s="78"/>
      <c r="P250" s="78"/>
      <c r="Q250" s="78"/>
      <c r="R250" s="78"/>
      <c r="S250" s="78"/>
      <c r="T250" s="78"/>
      <c r="U250" s="78"/>
      <c r="V250" s="78"/>
      <c r="W250" s="78"/>
      <c r="X250" s="78"/>
      <c r="Y250" s="78"/>
      <c r="Z250" s="78"/>
    </row>
    <row r="251" ht="15.75" customHeight="1">
      <c r="A251" s="78"/>
      <c r="B251" s="78"/>
      <c r="C251" s="78"/>
      <c r="D251" s="78"/>
      <c r="E251" s="78"/>
      <c r="F251" s="78"/>
      <c r="G251" s="78"/>
      <c r="H251" s="78"/>
      <c r="I251" s="78"/>
      <c r="J251" s="78"/>
      <c r="K251" s="78"/>
      <c r="L251" s="78"/>
      <c r="M251" s="78"/>
      <c r="N251" s="78"/>
      <c r="O251" s="78"/>
      <c r="P251" s="78"/>
      <c r="Q251" s="78"/>
      <c r="R251" s="78"/>
      <c r="S251" s="78"/>
      <c r="T251" s="78"/>
      <c r="U251" s="78"/>
      <c r="V251" s="78"/>
      <c r="W251" s="78"/>
      <c r="X251" s="78"/>
      <c r="Y251" s="78"/>
      <c r="Z251" s="78"/>
    </row>
    <row r="252" ht="15.75" customHeight="1">
      <c r="A252" s="78"/>
      <c r="B252" s="78"/>
      <c r="C252" s="78"/>
      <c r="D252" s="78"/>
      <c r="E252" s="78"/>
      <c r="F252" s="78"/>
      <c r="G252" s="78"/>
      <c r="H252" s="78"/>
      <c r="I252" s="78"/>
      <c r="J252" s="78"/>
      <c r="K252" s="78"/>
      <c r="L252" s="78"/>
      <c r="M252" s="78"/>
      <c r="N252" s="78"/>
      <c r="O252" s="78"/>
      <c r="P252" s="78"/>
      <c r="Q252" s="78"/>
      <c r="R252" s="78"/>
      <c r="S252" s="78"/>
      <c r="T252" s="78"/>
      <c r="U252" s="78"/>
      <c r="V252" s="78"/>
      <c r="W252" s="78"/>
      <c r="X252" s="78"/>
      <c r="Y252" s="78"/>
      <c r="Z252" s="78"/>
    </row>
    <row r="253" ht="15.75" customHeight="1">
      <c r="A253" s="78"/>
      <c r="B253" s="78"/>
      <c r="C253" s="78"/>
      <c r="D253" s="78"/>
      <c r="E253" s="78"/>
      <c r="F253" s="78"/>
      <c r="G253" s="78"/>
      <c r="H253" s="78"/>
      <c r="I253" s="78"/>
      <c r="J253" s="78"/>
      <c r="K253" s="78"/>
      <c r="L253" s="78"/>
      <c r="M253" s="78"/>
      <c r="N253" s="78"/>
      <c r="O253" s="78"/>
      <c r="P253" s="78"/>
      <c r="Q253" s="78"/>
      <c r="R253" s="78"/>
      <c r="S253" s="78"/>
      <c r="T253" s="78"/>
      <c r="U253" s="78"/>
      <c r="V253" s="78"/>
      <c r="W253" s="78"/>
      <c r="X253" s="78"/>
      <c r="Y253" s="78"/>
      <c r="Z253" s="78"/>
    </row>
    <row r="254" ht="15.75" customHeight="1">
      <c r="A254" s="78"/>
      <c r="B254" s="78"/>
      <c r="C254" s="78"/>
      <c r="D254" s="78"/>
      <c r="E254" s="78"/>
      <c r="F254" s="78"/>
      <c r="G254" s="78"/>
      <c r="H254" s="78"/>
      <c r="I254" s="78"/>
      <c r="J254" s="78"/>
      <c r="K254" s="78"/>
      <c r="L254" s="78"/>
      <c r="M254" s="78"/>
      <c r="N254" s="78"/>
      <c r="O254" s="78"/>
      <c r="P254" s="78"/>
      <c r="Q254" s="78"/>
      <c r="R254" s="78"/>
      <c r="S254" s="78"/>
      <c r="T254" s="78"/>
      <c r="U254" s="78"/>
      <c r="V254" s="78"/>
      <c r="W254" s="78"/>
      <c r="X254" s="78"/>
      <c r="Y254" s="78"/>
      <c r="Z254" s="78"/>
    </row>
    <row r="255" ht="15.75" customHeight="1">
      <c r="A255" s="78"/>
      <c r="B255" s="78"/>
      <c r="C255" s="78"/>
      <c r="D255" s="78"/>
      <c r="E255" s="78"/>
      <c r="F255" s="78"/>
      <c r="G255" s="78"/>
      <c r="H255" s="78"/>
      <c r="I255" s="78"/>
      <c r="J255" s="78"/>
      <c r="K255" s="78"/>
      <c r="L255" s="78"/>
      <c r="M255" s="78"/>
      <c r="N255" s="78"/>
      <c r="O255" s="78"/>
      <c r="P255" s="78"/>
      <c r="Q255" s="78"/>
      <c r="R255" s="78"/>
      <c r="S255" s="78"/>
      <c r="T255" s="78"/>
      <c r="U255" s="78"/>
      <c r="V255" s="78"/>
      <c r="W255" s="78"/>
      <c r="X255" s="78"/>
      <c r="Y255" s="78"/>
      <c r="Z255" s="78"/>
    </row>
    <row r="256" ht="15.75" customHeight="1">
      <c r="A256" s="78"/>
      <c r="B256" s="78"/>
      <c r="C256" s="78"/>
      <c r="D256" s="78"/>
      <c r="E256" s="78"/>
      <c r="F256" s="78"/>
      <c r="G256" s="78"/>
      <c r="H256" s="78"/>
      <c r="I256" s="78"/>
      <c r="J256" s="78"/>
      <c r="K256" s="78"/>
      <c r="L256" s="78"/>
      <c r="M256" s="78"/>
      <c r="N256" s="78"/>
      <c r="O256" s="78"/>
      <c r="P256" s="78"/>
      <c r="Q256" s="78"/>
      <c r="R256" s="78"/>
      <c r="S256" s="78"/>
      <c r="T256" s="78"/>
      <c r="U256" s="78"/>
      <c r="V256" s="78"/>
      <c r="W256" s="78"/>
      <c r="X256" s="78"/>
      <c r="Y256" s="78"/>
      <c r="Z256" s="78"/>
    </row>
    <row r="257" ht="15.75" customHeight="1">
      <c r="A257" s="78"/>
      <c r="B257" s="78"/>
      <c r="C257" s="78"/>
      <c r="D257" s="78"/>
      <c r="E257" s="78"/>
      <c r="F257" s="78"/>
      <c r="G257" s="78"/>
      <c r="H257" s="78"/>
      <c r="I257" s="78"/>
      <c r="J257" s="78"/>
      <c r="K257" s="78"/>
      <c r="L257" s="78"/>
      <c r="M257" s="78"/>
      <c r="N257" s="78"/>
      <c r="O257" s="78"/>
      <c r="P257" s="78"/>
      <c r="Q257" s="78"/>
      <c r="R257" s="78"/>
      <c r="S257" s="78"/>
      <c r="T257" s="78"/>
      <c r="U257" s="78"/>
      <c r="V257" s="78"/>
      <c r="W257" s="78"/>
      <c r="X257" s="78"/>
      <c r="Y257" s="78"/>
      <c r="Z257" s="78"/>
    </row>
    <row r="258" ht="15.75" customHeight="1">
      <c r="A258" s="78"/>
      <c r="B258" s="78"/>
      <c r="C258" s="78"/>
      <c r="D258" s="78"/>
      <c r="E258" s="78"/>
      <c r="F258" s="78"/>
      <c r="G258" s="78"/>
      <c r="H258" s="78"/>
      <c r="I258" s="78"/>
      <c r="J258" s="78"/>
      <c r="K258" s="78"/>
      <c r="L258" s="78"/>
      <c r="M258" s="78"/>
      <c r="N258" s="78"/>
      <c r="O258" s="78"/>
      <c r="P258" s="78"/>
      <c r="Q258" s="78"/>
      <c r="R258" s="78"/>
      <c r="S258" s="78"/>
      <c r="T258" s="78"/>
      <c r="U258" s="78"/>
      <c r="V258" s="78"/>
      <c r="W258" s="78"/>
      <c r="X258" s="78"/>
      <c r="Y258" s="78"/>
      <c r="Z258" s="78"/>
    </row>
    <row r="259" ht="15.75" customHeight="1">
      <c r="A259" s="78"/>
      <c r="B259" s="78"/>
      <c r="C259" s="78"/>
      <c r="D259" s="78"/>
      <c r="E259" s="78"/>
      <c r="F259" s="78"/>
      <c r="G259" s="78"/>
      <c r="H259" s="78"/>
      <c r="I259" s="78"/>
      <c r="J259" s="78"/>
      <c r="K259" s="78"/>
      <c r="L259" s="78"/>
      <c r="M259" s="78"/>
      <c r="N259" s="78"/>
      <c r="O259" s="78"/>
      <c r="P259" s="78"/>
      <c r="Q259" s="78"/>
      <c r="R259" s="78"/>
      <c r="S259" s="78"/>
      <c r="T259" s="78"/>
      <c r="U259" s="78"/>
      <c r="V259" s="78"/>
      <c r="W259" s="78"/>
      <c r="X259" s="78"/>
      <c r="Y259" s="78"/>
      <c r="Z259" s="78"/>
    </row>
    <row r="260" ht="15.75" customHeight="1">
      <c r="A260" s="78"/>
      <c r="B260" s="78"/>
      <c r="C260" s="78"/>
      <c r="D260" s="78"/>
      <c r="E260" s="78"/>
      <c r="F260" s="78"/>
      <c r="G260" s="78"/>
      <c r="H260" s="78"/>
      <c r="I260" s="78"/>
      <c r="J260" s="78"/>
      <c r="K260" s="78"/>
      <c r="L260" s="78"/>
      <c r="M260" s="78"/>
      <c r="N260" s="78"/>
      <c r="O260" s="78"/>
      <c r="P260" s="78"/>
      <c r="Q260" s="78"/>
      <c r="R260" s="78"/>
      <c r="S260" s="78"/>
      <c r="T260" s="78"/>
      <c r="U260" s="78"/>
      <c r="V260" s="78"/>
      <c r="W260" s="78"/>
      <c r="X260" s="78"/>
      <c r="Y260" s="78"/>
      <c r="Z260" s="78"/>
    </row>
    <row r="261" ht="15.75" customHeight="1">
      <c r="A261" s="78"/>
      <c r="B261" s="78"/>
      <c r="C261" s="78"/>
      <c r="D261" s="78"/>
      <c r="E261" s="78"/>
      <c r="F261" s="78"/>
      <c r="G261" s="78"/>
      <c r="H261" s="78"/>
      <c r="I261" s="78"/>
      <c r="J261" s="78"/>
      <c r="K261" s="78"/>
      <c r="L261" s="78"/>
      <c r="M261" s="78"/>
      <c r="N261" s="78"/>
      <c r="O261" s="78"/>
      <c r="P261" s="78"/>
      <c r="Q261" s="78"/>
      <c r="R261" s="78"/>
      <c r="S261" s="78"/>
      <c r="T261" s="78"/>
      <c r="U261" s="78"/>
      <c r="V261" s="78"/>
      <c r="W261" s="78"/>
      <c r="X261" s="78"/>
      <c r="Y261" s="78"/>
      <c r="Z261" s="78"/>
    </row>
    <row r="262" ht="15.75" customHeight="1">
      <c r="A262" s="78"/>
      <c r="B262" s="78"/>
      <c r="C262" s="78"/>
      <c r="D262" s="78"/>
      <c r="E262" s="78"/>
      <c r="F262" s="78"/>
      <c r="G262" s="78"/>
      <c r="H262" s="78"/>
      <c r="I262" s="78"/>
      <c r="J262" s="78"/>
      <c r="K262" s="78"/>
      <c r="L262" s="78"/>
      <c r="M262" s="78"/>
      <c r="N262" s="78"/>
      <c r="O262" s="78"/>
      <c r="P262" s="78"/>
      <c r="Q262" s="78"/>
      <c r="R262" s="78"/>
      <c r="S262" s="78"/>
      <c r="T262" s="78"/>
      <c r="U262" s="78"/>
      <c r="V262" s="78"/>
      <c r="W262" s="78"/>
      <c r="X262" s="78"/>
      <c r="Y262" s="78"/>
      <c r="Z262" s="78"/>
    </row>
    <row r="263" ht="15.75" customHeight="1">
      <c r="A263" s="78"/>
      <c r="B263" s="78"/>
      <c r="C263" s="78"/>
      <c r="D263" s="78"/>
      <c r="E263" s="78"/>
      <c r="F263" s="78"/>
      <c r="G263" s="78"/>
      <c r="H263" s="78"/>
      <c r="I263" s="78"/>
      <c r="J263" s="78"/>
      <c r="K263" s="78"/>
      <c r="L263" s="78"/>
      <c r="M263" s="78"/>
      <c r="N263" s="78"/>
      <c r="O263" s="78"/>
      <c r="P263" s="78"/>
      <c r="Q263" s="78"/>
      <c r="R263" s="78"/>
      <c r="S263" s="78"/>
      <c r="T263" s="78"/>
      <c r="U263" s="78"/>
      <c r="V263" s="78"/>
      <c r="W263" s="78"/>
      <c r="X263" s="78"/>
      <c r="Y263" s="78"/>
      <c r="Z263" s="78"/>
    </row>
    <row r="264" ht="15.75" customHeight="1">
      <c r="A264" s="78"/>
      <c r="B264" s="78"/>
      <c r="C264" s="78"/>
      <c r="D264" s="78"/>
      <c r="E264" s="78"/>
      <c r="F264" s="78"/>
      <c r="G264" s="78"/>
      <c r="H264" s="78"/>
      <c r="I264" s="78"/>
      <c r="J264" s="78"/>
      <c r="K264" s="78"/>
      <c r="L264" s="78"/>
      <c r="M264" s="78"/>
      <c r="N264" s="78"/>
      <c r="O264" s="78"/>
      <c r="P264" s="78"/>
      <c r="Q264" s="78"/>
      <c r="R264" s="78"/>
      <c r="S264" s="78"/>
      <c r="T264" s="78"/>
      <c r="U264" s="78"/>
      <c r="V264" s="78"/>
      <c r="W264" s="78"/>
      <c r="X264" s="78"/>
      <c r="Y264" s="78"/>
      <c r="Z264" s="78"/>
    </row>
    <row r="265" ht="15.75" customHeight="1">
      <c r="A265" s="78"/>
      <c r="B265" s="78"/>
      <c r="C265" s="78"/>
      <c r="D265" s="78"/>
      <c r="E265" s="78"/>
      <c r="F265" s="78"/>
      <c r="G265" s="78"/>
      <c r="H265" s="78"/>
      <c r="I265" s="78"/>
      <c r="J265" s="78"/>
      <c r="K265" s="78"/>
      <c r="L265" s="78"/>
      <c r="M265" s="78"/>
      <c r="N265" s="78"/>
      <c r="O265" s="78"/>
      <c r="P265" s="78"/>
      <c r="Q265" s="78"/>
      <c r="R265" s="78"/>
      <c r="S265" s="78"/>
      <c r="T265" s="78"/>
      <c r="U265" s="78"/>
      <c r="V265" s="78"/>
      <c r="W265" s="78"/>
      <c r="X265" s="78"/>
      <c r="Y265" s="78"/>
      <c r="Z265" s="78"/>
    </row>
    <row r="266" ht="15.75" customHeight="1">
      <c r="A266" s="78"/>
      <c r="B266" s="78"/>
      <c r="C266" s="78"/>
      <c r="D266" s="78"/>
      <c r="E266" s="78"/>
      <c r="F266" s="78"/>
      <c r="G266" s="78"/>
      <c r="H266" s="78"/>
      <c r="I266" s="78"/>
      <c r="J266" s="78"/>
      <c r="K266" s="78"/>
      <c r="L266" s="78"/>
      <c r="M266" s="78"/>
      <c r="N266" s="78"/>
      <c r="O266" s="78"/>
      <c r="P266" s="78"/>
      <c r="Q266" s="78"/>
      <c r="R266" s="78"/>
      <c r="S266" s="78"/>
      <c r="T266" s="78"/>
      <c r="U266" s="78"/>
      <c r="V266" s="78"/>
      <c r="W266" s="78"/>
      <c r="X266" s="78"/>
      <c r="Y266" s="78"/>
      <c r="Z266" s="78"/>
    </row>
    <row r="267" ht="15.75" customHeight="1">
      <c r="A267" s="78"/>
      <c r="B267" s="78"/>
      <c r="C267" s="78"/>
      <c r="D267" s="78"/>
      <c r="E267" s="78"/>
      <c r="F267" s="78"/>
      <c r="G267" s="78"/>
      <c r="H267" s="78"/>
      <c r="I267" s="78"/>
      <c r="J267" s="78"/>
      <c r="K267" s="78"/>
      <c r="L267" s="78"/>
      <c r="M267" s="78"/>
      <c r="N267" s="78"/>
      <c r="O267" s="78"/>
      <c r="P267" s="78"/>
      <c r="Q267" s="78"/>
      <c r="R267" s="78"/>
      <c r="S267" s="78"/>
      <c r="T267" s="78"/>
      <c r="U267" s="78"/>
      <c r="V267" s="78"/>
      <c r="W267" s="78"/>
      <c r="X267" s="78"/>
      <c r="Y267" s="78"/>
      <c r="Z267" s="78"/>
    </row>
    <row r="268" ht="15.75" customHeight="1">
      <c r="A268" s="78"/>
      <c r="B268" s="78"/>
      <c r="C268" s="78"/>
      <c r="D268" s="78"/>
      <c r="E268" s="78"/>
      <c r="F268" s="78"/>
      <c r="G268" s="78"/>
      <c r="H268" s="78"/>
      <c r="I268" s="78"/>
      <c r="J268" s="78"/>
      <c r="K268" s="78"/>
      <c r="L268" s="78"/>
      <c r="M268" s="78"/>
      <c r="N268" s="78"/>
      <c r="O268" s="78"/>
      <c r="P268" s="78"/>
      <c r="Q268" s="78"/>
      <c r="R268" s="78"/>
      <c r="S268" s="78"/>
      <c r="T268" s="78"/>
      <c r="U268" s="78"/>
      <c r="V268" s="78"/>
      <c r="W268" s="78"/>
      <c r="X268" s="78"/>
      <c r="Y268" s="78"/>
      <c r="Z268" s="78"/>
    </row>
    <row r="269" ht="15.75" customHeight="1">
      <c r="A269" s="78"/>
      <c r="B269" s="78"/>
      <c r="C269" s="78"/>
      <c r="D269" s="78"/>
      <c r="E269" s="78"/>
      <c r="F269" s="78"/>
      <c r="G269" s="78"/>
      <c r="H269" s="78"/>
      <c r="I269" s="78"/>
      <c r="J269" s="78"/>
      <c r="K269" s="78"/>
      <c r="L269" s="78"/>
      <c r="M269" s="78"/>
      <c r="N269" s="78"/>
      <c r="O269" s="78"/>
      <c r="P269" s="78"/>
      <c r="Q269" s="78"/>
      <c r="R269" s="78"/>
      <c r="S269" s="78"/>
      <c r="T269" s="78"/>
      <c r="U269" s="78"/>
      <c r="V269" s="78"/>
      <c r="W269" s="78"/>
      <c r="X269" s="78"/>
      <c r="Y269" s="78"/>
      <c r="Z269" s="78"/>
    </row>
    <row r="270" ht="15.75" customHeight="1">
      <c r="A270" s="78"/>
      <c r="B270" s="78"/>
      <c r="C270" s="78"/>
      <c r="D270" s="78"/>
      <c r="E270" s="78"/>
      <c r="F270" s="78"/>
      <c r="G270" s="78"/>
      <c r="H270" s="78"/>
      <c r="I270" s="78"/>
      <c r="J270" s="78"/>
      <c r="K270" s="78"/>
      <c r="L270" s="78"/>
      <c r="M270" s="78"/>
      <c r="N270" s="78"/>
      <c r="O270" s="78"/>
      <c r="P270" s="78"/>
      <c r="Q270" s="78"/>
      <c r="R270" s="78"/>
      <c r="S270" s="78"/>
      <c r="T270" s="78"/>
      <c r="U270" s="78"/>
      <c r="V270" s="78"/>
      <c r="W270" s="78"/>
      <c r="X270" s="78"/>
      <c r="Y270" s="78"/>
      <c r="Z270" s="78"/>
    </row>
    <row r="271" ht="15.75" customHeight="1">
      <c r="A271" s="78"/>
      <c r="B271" s="78"/>
      <c r="C271" s="78"/>
      <c r="D271" s="78"/>
      <c r="E271" s="78"/>
      <c r="F271" s="78"/>
      <c r="G271" s="78"/>
      <c r="H271" s="78"/>
      <c r="I271" s="78"/>
      <c r="J271" s="78"/>
      <c r="K271" s="78"/>
      <c r="L271" s="78"/>
      <c r="M271" s="78"/>
      <c r="N271" s="78"/>
      <c r="O271" s="78"/>
      <c r="P271" s="78"/>
      <c r="Q271" s="78"/>
      <c r="R271" s="78"/>
      <c r="S271" s="78"/>
      <c r="T271" s="78"/>
      <c r="U271" s="78"/>
      <c r="V271" s="78"/>
      <c r="W271" s="78"/>
      <c r="X271" s="78"/>
      <c r="Y271" s="78"/>
      <c r="Z271" s="78"/>
    </row>
    <row r="272" ht="15.75" customHeight="1">
      <c r="A272" s="78"/>
      <c r="B272" s="78"/>
      <c r="C272" s="78"/>
      <c r="D272" s="78"/>
      <c r="E272" s="78"/>
      <c r="F272" s="78"/>
      <c r="G272" s="78"/>
      <c r="H272" s="78"/>
      <c r="I272" s="78"/>
      <c r="J272" s="78"/>
      <c r="K272" s="78"/>
      <c r="L272" s="78"/>
      <c r="M272" s="78"/>
      <c r="N272" s="78"/>
      <c r="O272" s="78"/>
      <c r="P272" s="78"/>
      <c r="Q272" s="78"/>
      <c r="R272" s="78"/>
      <c r="S272" s="78"/>
      <c r="T272" s="78"/>
      <c r="U272" s="78"/>
      <c r="V272" s="78"/>
      <c r="W272" s="78"/>
      <c r="X272" s="78"/>
      <c r="Y272" s="78"/>
      <c r="Z272" s="78"/>
    </row>
    <row r="273" ht="15.75" customHeight="1">
      <c r="A273" s="78"/>
      <c r="B273" s="78"/>
      <c r="C273" s="78"/>
      <c r="D273" s="78"/>
      <c r="E273" s="78"/>
      <c r="F273" s="78"/>
      <c r="G273" s="78"/>
      <c r="H273" s="78"/>
      <c r="I273" s="78"/>
      <c r="J273" s="78"/>
      <c r="K273" s="78"/>
      <c r="L273" s="78"/>
      <c r="M273" s="78"/>
      <c r="N273" s="78"/>
      <c r="O273" s="78"/>
      <c r="P273" s="78"/>
      <c r="Q273" s="78"/>
      <c r="R273" s="78"/>
      <c r="S273" s="78"/>
      <c r="T273" s="78"/>
      <c r="U273" s="78"/>
      <c r="V273" s="78"/>
      <c r="W273" s="78"/>
      <c r="X273" s="78"/>
      <c r="Y273" s="78"/>
      <c r="Z273" s="78"/>
    </row>
    <row r="274" ht="15.75" customHeight="1">
      <c r="A274" s="78"/>
      <c r="B274" s="78"/>
      <c r="C274" s="78"/>
      <c r="D274" s="78"/>
      <c r="E274" s="78"/>
      <c r="F274" s="78"/>
      <c r="G274" s="78"/>
      <c r="H274" s="78"/>
      <c r="I274" s="78"/>
      <c r="J274" s="78"/>
      <c r="K274" s="78"/>
      <c r="L274" s="78"/>
      <c r="M274" s="78"/>
      <c r="N274" s="78"/>
      <c r="O274" s="78"/>
      <c r="P274" s="78"/>
      <c r="Q274" s="78"/>
      <c r="R274" s="78"/>
      <c r="S274" s="78"/>
      <c r="T274" s="78"/>
      <c r="U274" s="78"/>
      <c r="V274" s="78"/>
      <c r="W274" s="78"/>
      <c r="X274" s="78"/>
      <c r="Y274" s="78"/>
      <c r="Z274" s="78"/>
    </row>
    <row r="275" ht="15.75" customHeight="1">
      <c r="A275" s="78"/>
      <c r="B275" s="78"/>
      <c r="C275" s="78"/>
      <c r="D275" s="78"/>
      <c r="E275" s="78"/>
      <c r="F275" s="78"/>
      <c r="G275" s="78"/>
      <c r="H275" s="78"/>
      <c r="I275" s="78"/>
      <c r="J275" s="78"/>
      <c r="K275" s="78"/>
      <c r="L275" s="78"/>
      <c r="M275" s="78"/>
      <c r="N275" s="78"/>
      <c r="O275" s="78"/>
      <c r="P275" s="78"/>
      <c r="Q275" s="78"/>
      <c r="R275" s="78"/>
      <c r="S275" s="78"/>
      <c r="T275" s="78"/>
      <c r="U275" s="78"/>
      <c r="V275" s="78"/>
      <c r="W275" s="78"/>
      <c r="X275" s="78"/>
      <c r="Y275" s="78"/>
      <c r="Z275" s="78"/>
    </row>
    <row r="276" ht="15.75" customHeight="1">
      <c r="A276" s="78"/>
      <c r="B276" s="78"/>
      <c r="C276" s="78"/>
      <c r="D276" s="78"/>
      <c r="E276" s="78"/>
      <c r="F276" s="78"/>
      <c r="G276" s="78"/>
      <c r="H276" s="78"/>
      <c r="I276" s="78"/>
      <c r="J276" s="78"/>
      <c r="K276" s="78"/>
      <c r="L276" s="78"/>
      <c r="M276" s="78"/>
      <c r="N276" s="78"/>
      <c r="O276" s="78"/>
      <c r="P276" s="78"/>
      <c r="Q276" s="78"/>
      <c r="R276" s="78"/>
      <c r="S276" s="78"/>
      <c r="T276" s="78"/>
      <c r="U276" s="78"/>
      <c r="V276" s="78"/>
      <c r="W276" s="78"/>
      <c r="X276" s="78"/>
      <c r="Y276" s="78"/>
      <c r="Z276" s="78"/>
    </row>
    <row r="277" ht="15.75" customHeight="1">
      <c r="A277" s="78"/>
      <c r="B277" s="78"/>
      <c r="C277" s="78"/>
      <c r="D277" s="78"/>
      <c r="E277" s="78"/>
      <c r="F277" s="78"/>
      <c r="G277" s="78"/>
      <c r="H277" s="78"/>
      <c r="I277" s="78"/>
      <c r="J277" s="78"/>
      <c r="K277" s="78"/>
      <c r="L277" s="78"/>
      <c r="M277" s="78"/>
      <c r="N277" s="78"/>
      <c r="O277" s="78"/>
      <c r="P277" s="78"/>
      <c r="Q277" s="78"/>
      <c r="R277" s="78"/>
      <c r="S277" s="78"/>
      <c r="T277" s="78"/>
      <c r="U277" s="78"/>
      <c r="V277" s="78"/>
      <c r="W277" s="78"/>
      <c r="X277" s="78"/>
      <c r="Y277" s="78"/>
      <c r="Z277" s="78"/>
    </row>
    <row r="278" ht="15.75" customHeight="1">
      <c r="A278" s="78"/>
      <c r="B278" s="78"/>
      <c r="C278" s="78"/>
      <c r="D278" s="78"/>
      <c r="E278" s="78"/>
      <c r="F278" s="78"/>
      <c r="G278" s="78"/>
      <c r="H278" s="78"/>
      <c r="I278" s="78"/>
      <c r="J278" s="78"/>
      <c r="K278" s="78"/>
      <c r="L278" s="78"/>
      <c r="M278" s="78"/>
      <c r="N278" s="78"/>
      <c r="O278" s="78"/>
      <c r="P278" s="78"/>
      <c r="Q278" s="78"/>
      <c r="R278" s="78"/>
      <c r="S278" s="78"/>
      <c r="T278" s="78"/>
      <c r="U278" s="78"/>
      <c r="V278" s="78"/>
      <c r="W278" s="78"/>
      <c r="X278" s="78"/>
      <c r="Y278" s="78"/>
      <c r="Z278" s="78"/>
    </row>
    <row r="279" ht="15.75" customHeight="1">
      <c r="A279" s="78"/>
      <c r="B279" s="78"/>
      <c r="C279" s="78"/>
      <c r="D279" s="78"/>
      <c r="E279" s="78"/>
      <c r="F279" s="78"/>
      <c r="G279" s="78"/>
      <c r="H279" s="78"/>
      <c r="I279" s="78"/>
      <c r="J279" s="78"/>
      <c r="K279" s="78"/>
      <c r="L279" s="78"/>
      <c r="M279" s="78"/>
      <c r="N279" s="78"/>
      <c r="O279" s="78"/>
      <c r="P279" s="78"/>
      <c r="Q279" s="78"/>
      <c r="R279" s="78"/>
      <c r="S279" s="78"/>
      <c r="T279" s="78"/>
      <c r="U279" s="78"/>
      <c r="V279" s="78"/>
      <c r="W279" s="78"/>
      <c r="X279" s="78"/>
      <c r="Y279" s="78"/>
      <c r="Z279" s="78"/>
    </row>
    <row r="280" ht="15.75" customHeight="1">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row>
    <row r="281" ht="15.75" customHeight="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row>
    <row r="282" ht="15.75" customHeight="1">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row>
    <row r="283" ht="15.75" customHeight="1">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row>
    <row r="284" ht="15.75" customHeight="1">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row>
    <row r="285" ht="15.75" customHeight="1">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row>
    <row r="286" ht="15.75" customHeight="1">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row>
    <row r="287" ht="15.75" customHeight="1">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row>
    <row r="288" ht="15.75" customHeight="1">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row>
    <row r="289" ht="15.75" customHeight="1">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row>
    <row r="290" ht="15.75" customHeight="1">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row>
    <row r="291" ht="15.75" customHeight="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row>
    <row r="292" ht="15.75" customHeight="1">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row>
    <row r="293" ht="15.75" customHeight="1">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row>
    <row r="294" ht="15.75" customHeight="1">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row>
    <row r="295" ht="15.75" customHeight="1">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row>
    <row r="296" ht="15.75" customHeight="1">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row>
    <row r="297" ht="15.75" customHeight="1">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row>
    <row r="298" ht="15.75" customHeight="1">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row>
    <row r="299" ht="15.75" customHeight="1">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row>
    <row r="300" ht="15.75" customHeight="1">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row>
    <row r="301" ht="15.75" customHeight="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row>
    <row r="302" ht="15.75" customHeight="1">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row>
    <row r="303" ht="15.75" customHeight="1">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row>
    <row r="304" ht="15.75" customHeight="1">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row>
    <row r="305" ht="15.75" customHeight="1">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row>
    <row r="306" ht="15.75" customHeight="1">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row>
    <row r="307" ht="15.75" customHeight="1">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row>
    <row r="308" ht="15.75" customHeight="1">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row>
    <row r="309" ht="15.75" customHeight="1">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row>
    <row r="310" ht="15.75" customHeight="1">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row>
    <row r="311" ht="15.75" customHeight="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row>
    <row r="312" ht="15.75" customHeight="1">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row>
    <row r="313" ht="15.75" customHeight="1">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row>
    <row r="314" ht="15.75" customHeight="1">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row>
    <row r="315" ht="15.75" customHeight="1">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row>
    <row r="316" ht="15.75" customHeight="1">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row>
    <row r="317" ht="15.75" customHeight="1">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row>
    <row r="318" ht="15.75" customHeight="1">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row>
    <row r="319" ht="15.75" customHeight="1">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row>
    <row r="320" ht="15.75" customHeight="1">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row>
    <row r="321" ht="15.75" customHeight="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row>
    <row r="322" ht="15.75" customHeight="1">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row>
    <row r="323" ht="15.75" customHeight="1">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row>
    <row r="324" ht="15.75" customHeight="1">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row>
    <row r="325" ht="15.75" customHeight="1">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row>
    <row r="326" ht="15.75" customHeight="1">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row>
    <row r="327" ht="15.75" customHeight="1">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row>
    <row r="328" ht="15.75" customHeight="1">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row>
    <row r="329" ht="15.75" customHeight="1">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row>
    <row r="330" ht="15.75" customHeight="1">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row>
    <row r="331" ht="15.75" customHeight="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row>
    <row r="332" ht="15.75" customHeight="1">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row>
    <row r="333" ht="15.75" customHeight="1">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row>
    <row r="334" ht="15.75" customHeight="1">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row>
    <row r="335" ht="15.75" customHeight="1">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row>
    <row r="336" ht="15.75" customHeight="1">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row>
    <row r="337" ht="15.75" customHeight="1">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row>
    <row r="338" ht="15.75" customHeight="1">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row>
    <row r="339" ht="15.75" customHeight="1">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row>
    <row r="340" ht="15.75" customHeight="1">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row>
    <row r="341" ht="15.75" customHeight="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row>
    <row r="342" ht="15.75" customHeight="1">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row>
    <row r="343" ht="15.75" customHeight="1">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row>
    <row r="344" ht="15.75" customHeight="1">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row>
    <row r="345" ht="15.75" customHeight="1">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row>
    <row r="346" ht="15.75" customHeight="1">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row>
    <row r="347" ht="15.75" customHeight="1">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row>
    <row r="348" ht="15.75" customHeight="1">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row>
    <row r="349" ht="15.75" customHeight="1">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row>
    <row r="350" ht="15.75" customHeight="1">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row>
    <row r="351" ht="15.75" customHeight="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row>
    <row r="352" ht="15.75" customHeight="1">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row>
    <row r="353" ht="15.75" customHeight="1">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row>
    <row r="354" ht="15.75" customHeight="1">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row>
    <row r="355" ht="15.75" customHeight="1">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row>
    <row r="356" ht="15.75" customHeight="1">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row>
    <row r="357" ht="15.75" customHeight="1">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row>
    <row r="358" ht="15.75" customHeight="1">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row>
    <row r="359" ht="15.75" customHeight="1">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row>
    <row r="360" ht="15.75" customHeight="1">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row>
    <row r="361" ht="15.75" customHeight="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row>
    <row r="362" ht="15.75" customHeight="1">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row>
    <row r="363" ht="15.75" customHeight="1">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row>
    <row r="364" ht="15.75" customHeight="1">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row>
    <row r="365" ht="15.75" customHeight="1">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row>
    <row r="366" ht="15.75" customHeight="1">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row>
    <row r="367" ht="15.75" customHeight="1">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row>
    <row r="368" ht="15.75" customHeight="1">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row>
    <row r="369" ht="15.75" customHeight="1">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row>
    <row r="370" ht="15.75" customHeight="1">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row>
    <row r="371" ht="15.75" customHeight="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row>
    <row r="372" ht="15.75" customHeight="1">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row>
    <row r="373" ht="15.75" customHeight="1">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row>
    <row r="374" ht="15.75" customHeight="1">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row>
    <row r="375" ht="15.75" customHeight="1">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row>
    <row r="376" ht="15.75" customHeight="1">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row>
    <row r="377" ht="15.75" customHeight="1">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row>
    <row r="378" ht="15.75" customHeight="1">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row>
    <row r="379" ht="15.75" customHeight="1">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row>
    <row r="380" ht="15.75" customHeight="1">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row>
    <row r="381" ht="15.75" customHeight="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row>
    <row r="382" ht="15.75" customHeight="1">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row>
    <row r="383" ht="15.75" customHeight="1">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row>
    <row r="384" ht="15.75" customHeight="1">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row>
    <row r="385" ht="15.75" customHeight="1">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row>
    <row r="386" ht="15.75" customHeight="1">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row>
    <row r="387" ht="15.75" customHeight="1">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row>
    <row r="388" ht="15.75" customHeight="1">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row>
    <row r="389" ht="15.75" customHeight="1">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row>
    <row r="390" ht="15.75" customHeight="1">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row>
    <row r="391" ht="15.75" customHeight="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row>
    <row r="392" ht="15.75" customHeight="1">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row>
    <row r="393" ht="15.75" customHeight="1">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row>
    <row r="394" ht="15.75" customHeight="1">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row>
    <row r="395" ht="15.75" customHeight="1">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row>
    <row r="396" ht="15.75" customHeight="1">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row>
    <row r="397" ht="15.75" customHeight="1">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row>
    <row r="398" ht="15.75" customHeight="1">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row>
    <row r="399" ht="15.75" customHeight="1">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row>
    <row r="400" ht="15.75" customHeight="1">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row>
    <row r="401" ht="15.75" customHeight="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row>
    <row r="402" ht="15.75" customHeight="1">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row>
    <row r="403" ht="15.75" customHeight="1">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row>
    <row r="404" ht="15.75" customHeight="1">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row>
    <row r="405" ht="15.75" customHeight="1">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row>
    <row r="406" ht="15.75" customHeight="1">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row>
    <row r="407" ht="15.75" customHeight="1">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row>
    <row r="408" ht="15.75" customHeight="1">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row>
    <row r="409" ht="15.75" customHeight="1">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row>
    <row r="410" ht="15.75" customHeight="1">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row>
    <row r="411" ht="15.75" customHeight="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row>
    <row r="412" ht="15.75" customHeight="1">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row>
    <row r="413" ht="15.75" customHeight="1">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row>
    <row r="414" ht="15.75" customHeight="1">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row>
    <row r="415" ht="15.75" customHeight="1">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row>
    <row r="416" ht="15.75" customHeight="1">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row>
    <row r="417" ht="15.75" customHeight="1">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row>
    <row r="418" ht="15.75" customHeight="1">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row>
    <row r="419" ht="15.75" customHeight="1">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row>
    <row r="420" ht="15.75" customHeight="1">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row>
    <row r="421" ht="15.75" customHeight="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row>
    <row r="422" ht="15.75" customHeight="1">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row>
    <row r="423" ht="15.75" customHeight="1">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row>
    <row r="424" ht="15.75" customHeight="1">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row>
    <row r="425" ht="15.75" customHeight="1">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row>
    <row r="426" ht="15.75" customHeight="1">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row>
    <row r="427" ht="15.75" customHeight="1">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row>
    <row r="428" ht="15.75" customHeight="1">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row>
    <row r="429" ht="15.75" customHeight="1">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row>
    <row r="430" ht="15.75" customHeight="1">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row>
    <row r="431" ht="15.75" customHeight="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row>
    <row r="432" ht="15.75" customHeight="1">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row>
    <row r="433" ht="15.75" customHeight="1">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row>
    <row r="434" ht="15.75" customHeight="1">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row>
    <row r="435" ht="15.75" customHeight="1">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row>
    <row r="436" ht="15.75" customHeight="1">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row>
    <row r="437" ht="15.75" customHeight="1">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row>
    <row r="438" ht="15.75" customHeight="1">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row>
    <row r="439" ht="15.75" customHeight="1">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row>
    <row r="440" ht="15.75" customHeight="1">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row>
    <row r="441" ht="15.75" customHeight="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row>
    <row r="442" ht="15.75" customHeight="1">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row>
    <row r="443" ht="15.75" customHeight="1">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row>
    <row r="444" ht="15.75" customHeight="1">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row>
    <row r="445" ht="15.75" customHeight="1">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row>
    <row r="446" ht="15.75" customHeight="1">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row>
    <row r="447" ht="15.75" customHeight="1">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row>
    <row r="448" ht="15.75" customHeight="1">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row>
    <row r="449" ht="15.75" customHeight="1">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row>
    <row r="450" ht="15.75" customHeight="1">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row>
    <row r="451" ht="15.75" customHeight="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row>
    <row r="452" ht="15.75" customHeight="1">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row>
    <row r="453" ht="15.75" customHeight="1">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row>
    <row r="454" ht="15.75" customHeight="1">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row>
    <row r="455" ht="15.75" customHeight="1">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row>
    <row r="456" ht="15.75" customHeight="1">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row>
    <row r="457" ht="15.75" customHeight="1">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row>
    <row r="458" ht="15.75" customHeight="1">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row>
    <row r="459" ht="15.75" customHeight="1">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row>
    <row r="460" ht="15.75" customHeight="1">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row>
    <row r="461" ht="15.75" customHeight="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row>
    <row r="462" ht="15.75" customHeight="1">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row>
    <row r="463" ht="15.75" customHeight="1">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row>
    <row r="464" ht="15.75" customHeight="1">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row>
    <row r="465" ht="15.75" customHeight="1">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row>
    <row r="466" ht="15.75" customHeight="1">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row>
    <row r="467" ht="15.75" customHeight="1">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row>
    <row r="468" ht="15.75" customHeight="1">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row>
    <row r="469" ht="15.75" customHeight="1">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row>
    <row r="470" ht="15.75" customHeight="1">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row>
    <row r="471" ht="15.75" customHeight="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row>
    <row r="472" ht="15.75" customHeight="1">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row>
    <row r="473" ht="15.75" customHeight="1">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row>
    <row r="474" ht="15.75" customHeight="1">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row>
    <row r="475" ht="15.75" customHeight="1">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row>
    <row r="476" ht="15.75" customHeight="1">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row>
    <row r="477" ht="15.75" customHeight="1">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row>
    <row r="478" ht="15.75" customHeight="1">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row>
    <row r="479" ht="15.75" customHeight="1">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row>
    <row r="480" ht="15.75" customHeight="1">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row>
    <row r="481" ht="15.75" customHeight="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row>
    <row r="482" ht="15.75" customHeight="1">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row>
    <row r="483" ht="15.75" customHeight="1">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row>
    <row r="484" ht="15.75" customHeight="1">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row>
    <row r="485" ht="15.75" customHeight="1">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row>
    <row r="486" ht="15.75" customHeight="1">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row>
    <row r="487" ht="15.75" customHeight="1">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row>
    <row r="488" ht="15.75" customHeight="1">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row>
    <row r="489" ht="15.75" customHeight="1">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row>
    <row r="490" ht="15.75" customHeight="1">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row>
    <row r="491" ht="15.75" customHeight="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row>
    <row r="492" ht="15.75" customHeight="1">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row>
    <row r="493" ht="15.75" customHeight="1">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row>
    <row r="494" ht="15.75" customHeight="1">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row>
    <row r="495" ht="15.75" customHeight="1">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row>
    <row r="496" ht="15.75" customHeight="1">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row>
    <row r="497" ht="15.75" customHeight="1">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row>
    <row r="498" ht="15.75" customHeight="1">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row>
    <row r="499" ht="15.75" customHeight="1">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row>
    <row r="500" ht="15.75" customHeight="1">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row>
    <row r="501" ht="15.75" customHeight="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row>
    <row r="502" ht="15.75" customHeight="1">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row>
    <row r="503" ht="15.75" customHeight="1">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row>
    <row r="504" ht="15.75" customHeight="1">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row>
    <row r="505" ht="15.75" customHeight="1">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row>
    <row r="506" ht="15.75" customHeight="1">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row>
    <row r="507" ht="15.75" customHeight="1">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row>
    <row r="508" ht="15.75" customHeight="1">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row>
    <row r="509" ht="15.75" customHeight="1">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row>
    <row r="510" ht="15.75" customHeight="1">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row>
    <row r="511" ht="15.75" customHeight="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row>
    <row r="512" ht="15.75" customHeight="1">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row>
    <row r="513" ht="15.75" customHeight="1">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row>
    <row r="514" ht="15.75" customHeight="1">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row>
    <row r="515" ht="15.75" customHeight="1">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row>
    <row r="516" ht="15.75" customHeight="1">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row>
    <row r="517" ht="15.75" customHeight="1">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row>
    <row r="518" ht="15.75" customHeight="1">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row>
    <row r="519" ht="15.75" customHeight="1">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row>
    <row r="520" ht="15.75" customHeight="1">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row>
    <row r="521" ht="15.75" customHeight="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row>
    <row r="522" ht="15.75" customHeight="1">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row>
    <row r="523" ht="15.75" customHeight="1">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row>
    <row r="524" ht="15.75" customHeight="1">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row>
    <row r="525" ht="15.75" customHeight="1">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row>
    <row r="526" ht="15.75" customHeight="1">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row>
    <row r="527" ht="15.75" customHeight="1">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row>
    <row r="528" ht="15.75" customHeight="1">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row>
    <row r="529" ht="15.75" customHeight="1">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row>
    <row r="530" ht="15.75" customHeight="1">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row>
    <row r="531" ht="15.75" customHeight="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row>
    <row r="532" ht="15.75" customHeight="1">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row>
    <row r="533" ht="15.75" customHeight="1">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row>
    <row r="534" ht="15.75" customHeight="1">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row>
    <row r="535" ht="15.75" customHeight="1">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row>
    <row r="536" ht="15.75" customHeight="1">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row>
    <row r="537" ht="15.75" customHeight="1">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row>
    <row r="538" ht="15.75" customHeight="1">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row>
    <row r="539" ht="15.75" customHeight="1">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row>
    <row r="540" ht="15.75" customHeight="1">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row>
    <row r="541" ht="15.75" customHeight="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row>
    <row r="542" ht="15.75" customHeight="1">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row>
    <row r="543" ht="15.75" customHeight="1">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row>
    <row r="544" ht="15.75" customHeight="1">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row>
    <row r="545" ht="15.75" customHeight="1">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row>
    <row r="546" ht="15.75" customHeight="1">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row>
    <row r="547" ht="15.75" customHeight="1">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row>
    <row r="548" ht="15.75" customHeight="1">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row>
    <row r="549" ht="15.75" customHeight="1">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row>
    <row r="550" ht="15.75" customHeight="1">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row>
    <row r="551" ht="15.75" customHeight="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row>
    <row r="552" ht="15.75" customHeight="1">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row>
    <row r="553" ht="15.75" customHeight="1">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row>
    <row r="554" ht="15.75" customHeight="1">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row>
    <row r="555" ht="15.75" customHeight="1">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row>
    <row r="556" ht="15.75" customHeight="1">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row>
    <row r="557" ht="15.75" customHeight="1">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row>
    <row r="558" ht="15.75" customHeight="1">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row>
    <row r="559" ht="15.75" customHeight="1">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row>
    <row r="560" ht="15.75" customHeight="1">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row>
    <row r="561" ht="15.75" customHeight="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row>
    <row r="562" ht="15.75" customHeight="1">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row>
    <row r="563" ht="15.75" customHeight="1">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row>
    <row r="564" ht="15.75" customHeight="1">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row>
    <row r="565" ht="15.75" customHeight="1">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row>
    <row r="566" ht="15.75" customHeight="1">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row>
    <row r="567" ht="15.75" customHeight="1">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row>
    <row r="568" ht="15.75" customHeight="1">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row>
    <row r="569" ht="15.75" customHeight="1">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row>
    <row r="570" ht="15.75" customHeight="1">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row>
    <row r="571" ht="15.75" customHeight="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row>
    <row r="572" ht="15.75" customHeight="1">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row>
    <row r="573" ht="15.75" customHeight="1">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row>
    <row r="574" ht="15.75" customHeight="1">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row>
    <row r="575" ht="15.75" customHeight="1">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row>
    <row r="576" ht="15.75" customHeight="1">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row>
    <row r="577" ht="15.75" customHeight="1">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row>
    <row r="578" ht="15.75" customHeight="1">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row>
    <row r="579" ht="15.75" customHeight="1">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row>
    <row r="580" ht="15.75" customHeight="1">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row>
    <row r="581" ht="15.75" customHeight="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row>
    <row r="582" ht="15.75" customHeight="1">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row>
    <row r="583" ht="15.75" customHeight="1">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row>
    <row r="584" ht="15.75" customHeight="1">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row>
    <row r="585" ht="15.75" customHeight="1">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row>
    <row r="586" ht="15.75" customHeight="1">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row>
    <row r="587" ht="15.75" customHeight="1">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row>
    <row r="588" ht="15.75" customHeight="1">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row>
    <row r="589" ht="15.75" customHeight="1">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row>
    <row r="590" ht="15.75" customHeight="1">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row>
    <row r="591" ht="15.75" customHeight="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row>
    <row r="592" ht="15.75" customHeight="1">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row>
    <row r="593" ht="15.75" customHeight="1">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row>
    <row r="594" ht="15.75" customHeight="1">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row>
    <row r="595" ht="15.75" customHeight="1">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row>
    <row r="596" ht="15.75" customHeight="1">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row>
    <row r="597" ht="15.75" customHeight="1">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row>
    <row r="598" ht="15.75" customHeight="1">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row>
    <row r="599" ht="15.75" customHeight="1">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row>
    <row r="600" ht="15.75" customHeight="1">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row>
    <row r="601" ht="15.75" customHeight="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row>
    <row r="602" ht="15.75" customHeight="1">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row>
    <row r="603" ht="15.75" customHeight="1">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row>
    <row r="604" ht="15.75" customHeight="1">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row>
    <row r="605" ht="15.75" customHeight="1">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row>
    <row r="606" ht="15.75" customHeight="1">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row>
    <row r="607" ht="15.75" customHeight="1">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row>
    <row r="608" ht="15.75" customHeight="1">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row>
    <row r="609" ht="15.75" customHeight="1">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row>
    <row r="610" ht="15.75" customHeight="1">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row>
    <row r="611" ht="15.75" customHeight="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row>
    <row r="612" ht="15.75" customHeight="1">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row>
    <row r="613" ht="15.75" customHeight="1">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row>
    <row r="614" ht="15.75" customHeight="1">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row>
    <row r="615" ht="15.75" customHeight="1">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row>
    <row r="616" ht="15.75" customHeight="1">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row>
    <row r="617" ht="15.75" customHeight="1">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row>
    <row r="618" ht="15.75" customHeight="1">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row>
    <row r="619" ht="15.75" customHeight="1">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row>
    <row r="620" ht="15.75" customHeight="1">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row>
    <row r="621" ht="15.75" customHeight="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row>
    <row r="622" ht="15.75" customHeight="1">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row>
    <row r="623" ht="15.75" customHeight="1">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row>
    <row r="624" ht="15.75" customHeight="1">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row>
    <row r="625" ht="15.75" customHeight="1">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row>
    <row r="626" ht="15.75" customHeight="1">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row>
    <row r="627" ht="15.75" customHeight="1">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row>
    <row r="628" ht="15.75" customHeight="1">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row>
    <row r="629" ht="15.75" customHeight="1">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row>
    <row r="630" ht="15.75" customHeight="1">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row>
    <row r="631" ht="15.75" customHeight="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row>
    <row r="632" ht="15.75" customHeight="1">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row>
    <row r="633" ht="15.75" customHeight="1">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row>
    <row r="634" ht="15.75" customHeight="1">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row>
    <row r="635" ht="15.75" customHeight="1">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row>
    <row r="636" ht="15.75" customHeight="1">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row>
    <row r="637" ht="15.75" customHeight="1">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row>
    <row r="638" ht="15.75" customHeight="1">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row>
    <row r="639" ht="15.75" customHeight="1">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row>
    <row r="640" ht="15.75" customHeight="1">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row>
    <row r="641" ht="15.75" customHeight="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row>
    <row r="642" ht="15.75" customHeight="1">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row>
    <row r="643" ht="15.75" customHeight="1">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row>
    <row r="644" ht="15.75" customHeight="1">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row>
    <row r="645" ht="15.75" customHeight="1">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row>
    <row r="646" ht="15.75" customHeight="1">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row>
    <row r="647" ht="15.75" customHeight="1">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row>
    <row r="648" ht="15.75" customHeight="1">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row>
    <row r="649" ht="15.75" customHeight="1">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row>
    <row r="650" ht="15.75" customHeight="1">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row>
    <row r="651" ht="15.75" customHeight="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row>
    <row r="652" ht="15.75" customHeight="1">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row>
    <row r="653" ht="15.75" customHeight="1">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row>
    <row r="654" ht="15.75" customHeight="1">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row>
    <row r="655" ht="15.75" customHeight="1">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row>
    <row r="656" ht="15.75" customHeight="1">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row>
    <row r="657" ht="15.75" customHeight="1">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row>
    <row r="658" ht="15.75" customHeight="1">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row>
    <row r="659" ht="15.75" customHeight="1">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row>
    <row r="660" ht="15.75" customHeight="1">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row>
    <row r="661" ht="15.75" customHeight="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row>
    <row r="662" ht="15.75" customHeight="1">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row>
    <row r="663" ht="15.75" customHeight="1">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row>
    <row r="664" ht="15.75" customHeight="1">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row>
    <row r="665" ht="15.75" customHeight="1">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row>
    <row r="666" ht="15.75" customHeight="1">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row>
    <row r="667" ht="15.75" customHeight="1">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row>
    <row r="668" ht="15.75" customHeight="1">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row>
    <row r="669" ht="15.75" customHeight="1">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row>
    <row r="670" ht="15.75" customHeight="1">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row>
    <row r="671" ht="15.75" customHeight="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row>
    <row r="672" ht="15.75" customHeight="1">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row>
    <row r="673" ht="15.75" customHeight="1">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row>
    <row r="674" ht="15.75" customHeight="1">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row>
    <row r="675" ht="15.75" customHeight="1">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row>
    <row r="676" ht="15.75" customHeight="1">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row>
    <row r="677" ht="15.75" customHeight="1">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row>
    <row r="678" ht="15.75" customHeight="1">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row>
    <row r="679" ht="15.75" customHeight="1">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row>
    <row r="680" ht="15.75" customHeight="1">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row>
    <row r="681" ht="15.75" customHeight="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row>
    <row r="682" ht="15.75" customHeight="1">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row>
    <row r="683" ht="15.75" customHeight="1">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row>
    <row r="684" ht="15.75" customHeight="1">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row>
    <row r="685" ht="15.75" customHeight="1">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row>
    <row r="686" ht="15.75" customHeight="1">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row>
    <row r="687" ht="15.75" customHeight="1">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row>
    <row r="688" ht="15.75" customHeight="1">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row>
    <row r="689" ht="15.75" customHeight="1">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row>
    <row r="690" ht="15.75" customHeight="1">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row>
    <row r="691" ht="15.75" customHeight="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row>
    <row r="692" ht="15.75" customHeight="1">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row>
    <row r="693" ht="15.75" customHeight="1">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row>
    <row r="694" ht="15.75" customHeight="1">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row>
    <row r="695" ht="15.75" customHeight="1">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row>
    <row r="696" ht="15.75" customHeight="1">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row>
    <row r="697" ht="15.75" customHeight="1">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row>
    <row r="698" ht="15.75" customHeight="1">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row>
    <row r="699" ht="15.75" customHeight="1">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row>
    <row r="700" ht="15.75" customHeight="1">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row>
    <row r="701" ht="15.75" customHeight="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row>
    <row r="702" ht="15.75" customHeight="1">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row>
    <row r="703" ht="15.75" customHeight="1">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row>
    <row r="704" ht="15.75" customHeight="1">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row>
    <row r="705" ht="15.75" customHeight="1">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row>
    <row r="706" ht="15.75" customHeight="1">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row>
    <row r="707" ht="15.75" customHeight="1">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row>
    <row r="708" ht="15.75" customHeight="1">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row>
    <row r="709" ht="15.75" customHeight="1">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row>
    <row r="710" ht="15.75" customHeight="1">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row>
    <row r="711" ht="15.75" customHeight="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row>
    <row r="712" ht="15.75" customHeight="1">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row>
    <row r="713" ht="15.75" customHeight="1">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row>
    <row r="714" ht="15.75" customHeight="1">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row>
    <row r="715" ht="15.75" customHeight="1">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row>
    <row r="716" ht="15.75" customHeight="1">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row>
    <row r="717" ht="15.75" customHeight="1">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row>
    <row r="718" ht="15.75" customHeight="1">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row>
    <row r="719" ht="15.75" customHeight="1">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row>
    <row r="720" ht="15.75" customHeight="1">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row>
    <row r="721" ht="15.75" customHeight="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row>
    <row r="722" ht="15.75" customHeight="1">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row>
    <row r="723" ht="15.75" customHeight="1">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row>
    <row r="724" ht="15.75" customHeight="1">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row>
    <row r="725" ht="15.75" customHeight="1">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row>
    <row r="726" ht="15.75" customHeight="1">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row>
    <row r="727" ht="15.75" customHeight="1">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row>
    <row r="728" ht="15.75" customHeight="1">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row>
    <row r="729" ht="15.75" customHeight="1">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row>
    <row r="730" ht="15.75" customHeight="1">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row>
    <row r="731" ht="15.75" customHeight="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row>
    <row r="732" ht="15.75" customHeight="1">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row>
    <row r="733" ht="15.75" customHeight="1">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row>
    <row r="734" ht="15.75" customHeight="1">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row>
    <row r="735" ht="15.75" customHeight="1">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row>
    <row r="736" ht="15.75" customHeight="1">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row>
    <row r="737" ht="15.75" customHeight="1">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row>
    <row r="738" ht="15.75" customHeight="1">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row>
    <row r="739" ht="15.75" customHeight="1">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row>
    <row r="740" ht="15.75" customHeight="1">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row>
    <row r="741" ht="15.75" customHeight="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row>
    <row r="742" ht="15.75" customHeight="1">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row>
    <row r="743" ht="15.75" customHeight="1">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row>
    <row r="744" ht="15.75" customHeight="1">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row>
    <row r="745" ht="15.75" customHeight="1">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row>
    <row r="746" ht="15.75" customHeight="1">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row>
    <row r="747" ht="15.75" customHeight="1">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row>
    <row r="748" ht="15.75" customHeight="1">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row>
    <row r="749" ht="15.75" customHeight="1">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row>
    <row r="750" ht="15.75" customHeight="1">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row>
    <row r="751" ht="15.75" customHeight="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row>
    <row r="752" ht="15.75" customHeight="1">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row>
    <row r="753" ht="15.75" customHeight="1">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row>
    <row r="754" ht="15.75" customHeight="1">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row>
    <row r="755" ht="15.75" customHeight="1">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row>
    <row r="756" ht="15.75" customHeight="1">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row>
    <row r="757" ht="15.75" customHeight="1">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row>
    <row r="758" ht="15.75" customHeight="1">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row>
    <row r="759" ht="15.75" customHeight="1">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row>
    <row r="760" ht="15.75" customHeight="1">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row>
    <row r="761" ht="15.75" customHeight="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row>
    <row r="762" ht="15.75" customHeight="1">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row>
    <row r="763" ht="15.75" customHeight="1">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row>
    <row r="764" ht="15.75" customHeight="1">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row>
    <row r="765" ht="15.75" customHeight="1">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row>
    <row r="766" ht="15.75" customHeight="1">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row>
    <row r="767" ht="15.75" customHeight="1">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row>
    <row r="768" ht="15.75" customHeight="1">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row>
    <row r="769" ht="15.75" customHeight="1">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row>
    <row r="770" ht="15.75" customHeight="1">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row>
    <row r="771" ht="15.75" customHeight="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row>
    <row r="772" ht="15.75" customHeight="1">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row>
    <row r="773" ht="15.75" customHeight="1">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row>
    <row r="774" ht="15.75" customHeight="1">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row>
    <row r="775" ht="15.75" customHeight="1">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row>
    <row r="776" ht="15.75" customHeight="1">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row>
    <row r="777" ht="15.75" customHeight="1">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row>
    <row r="778" ht="15.75" customHeight="1">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row>
    <row r="779" ht="15.75" customHeight="1">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row>
    <row r="780" ht="15.75" customHeight="1">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row>
    <row r="781" ht="15.75" customHeight="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row>
    <row r="782" ht="15.75" customHeight="1">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row>
    <row r="783" ht="15.75" customHeight="1">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row>
    <row r="784" ht="15.75" customHeight="1">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row>
    <row r="785" ht="15.75" customHeight="1">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row>
    <row r="786" ht="15.75" customHeight="1">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row>
    <row r="787" ht="15.75" customHeight="1">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row>
    <row r="788" ht="15.75" customHeight="1">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row>
    <row r="789" ht="15.75" customHeight="1">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row>
    <row r="790" ht="15.75" customHeight="1">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row>
    <row r="791" ht="15.75" customHeight="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row>
    <row r="792" ht="15.75" customHeight="1">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row>
    <row r="793" ht="15.75" customHeight="1">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row>
    <row r="794" ht="15.75" customHeight="1">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row>
    <row r="795" ht="15.75" customHeight="1">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row>
    <row r="796" ht="15.75" customHeight="1">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row>
    <row r="797" ht="15.75" customHeight="1">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row>
    <row r="798" ht="15.75" customHeight="1">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row>
    <row r="799" ht="15.75" customHeight="1">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row>
    <row r="800" ht="15.75" customHeight="1">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row>
    <row r="801" ht="15.75" customHeight="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row>
    <row r="802" ht="15.75" customHeight="1">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row>
    <row r="803" ht="15.75" customHeight="1">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row>
    <row r="804" ht="15.75" customHeight="1">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row>
    <row r="805" ht="15.75" customHeight="1">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row>
    <row r="806" ht="15.75" customHeight="1">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row>
    <row r="807" ht="15.75" customHeight="1">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row>
    <row r="808" ht="15.75" customHeight="1">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row>
    <row r="809" ht="15.75" customHeight="1">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row>
    <row r="810" ht="15.75" customHeight="1">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row>
    <row r="811" ht="15.75" customHeight="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row>
    <row r="812" ht="15.75" customHeight="1">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row>
    <row r="813" ht="15.75" customHeight="1">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row>
    <row r="814" ht="15.75" customHeight="1">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row>
    <row r="815" ht="15.75" customHeight="1">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row>
    <row r="816" ht="15.75" customHeight="1">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row>
    <row r="817" ht="15.75" customHeight="1">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row>
    <row r="818" ht="15.75" customHeight="1">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row>
    <row r="819" ht="15.75" customHeight="1">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row>
    <row r="820" ht="15.75" customHeight="1">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row>
    <row r="821" ht="15.75" customHeight="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row>
    <row r="822" ht="15.75" customHeight="1">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row>
    <row r="823" ht="15.75" customHeight="1">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row>
    <row r="824" ht="15.75" customHeight="1">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row>
    <row r="825" ht="15.75" customHeight="1">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row>
    <row r="826" ht="15.75" customHeight="1">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row>
    <row r="827" ht="15.75" customHeight="1">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row>
    <row r="828" ht="15.75" customHeight="1">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row>
    <row r="829" ht="15.75" customHeight="1">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row>
    <row r="830" ht="15.75" customHeight="1">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row>
    <row r="831" ht="15.75" customHeight="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row>
    <row r="832" ht="15.75" customHeight="1">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row>
    <row r="833" ht="15.75" customHeight="1">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row>
    <row r="834" ht="15.75" customHeight="1">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row>
    <row r="835" ht="15.75" customHeight="1">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row>
    <row r="836" ht="15.75" customHeight="1">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row>
    <row r="837" ht="15.75" customHeight="1">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row>
    <row r="838" ht="15.75" customHeight="1">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row>
    <row r="839" ht="15.75" customHeight="1">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row>
    <row r="840" ht="15.75" customHeight="1">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row>
    <row r="841" ht="15.75" customHeight="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row>
    <row r="842" ht="15.75" customHeight="1">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row>
    <row r="843" ht="15.75" customHeight="1">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row>
    <row r="844" ht="15.75" customHeight="1">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row>
    <row r="845" ht="15.75" customHeight="1">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row>
    <row r="846" ht="15.75" customHeight="1">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row>
    <row r="847" ht="15.75" customHeight="1">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row>
    <row r="848" ht="15.75" customHeight="1">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row>
    <row r="849" ht="15.75" customHeight="1">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row>
    <row r="850" ht="15.75" customHeight="1">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row>
    <row r="851" ht="15.75" customHeight="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row>
    <row r="852" ht="15.75" customHeight="1">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row>
    <row r="853" ht="15.75" customHeight="1">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row>
    <row r="854" ht="15.75" customHeight="1">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row>
    <row r="855" ht="15.75" customHeight="1">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row>
    <row r="856" ht="15.75" customHeight="1">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row>
    <row r="857" ht="15.75" customHeight="1">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row>
    <row r="858" ht="15.75" customHeight="1">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row>
    <row r="859" ht="15.75" customHeight="1">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row>
    <row r="860" ht="15.75" customHeight="1">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row>
    <row r="861" ht="15.75" customHeight="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row>
    <row r="862" ht="15.75" customHeight="1">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row>
    <row r="863" ht="15.75" customHeight="1">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row>
    <row r="864" ht="15.75" customHeight="1">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row>
    <row r="865" ht="15.75" customHeight="1">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row>
    <row r="866" ht="15.75" customHeight="1">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row>
    <row r="867" ht="15.75" customHeight="1">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row>
    <row r="868" ht="15.75" customHeight="1">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row>
    <row r="869" ht="15.75" customHeight="1">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row>
    <row r="870" ht="15.75" customHeight="1">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row>
    <row r="871" ht="15.75" customHeight="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row>
    <row r="872" ht="15.75" customHeight="1">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row>
    <row r="873" ht="15.75" customHeight="1">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row>
    <row r="874" ht="15.75" customHeight="1">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row>
    <row r="875" ht="15.75" customHeight="1">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row>
    <row r="876" ht="15.75" customHeight="1">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row>
    <row r="877" ht="15.75" customHeight="1">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row>
    <row r="878" ht="15.75" customHeight="1">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row>
    <row r="879" ht="15.75" customHeight="1">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row>
    <row r="880" ht="15.75" customHeight="1">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row>
    <row r="881" ht="15.75" customHeight="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row>
    <row r="882" ht="15.75" customHeight="1">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row>
    <row r="883" ht="15.75" customHeight="1">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row>
    <row r="884" ht="15.75" customHeight="1">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row>
    <row r="885" ht="15.75" customHeight="1">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row>
    <row r="886" ht="15.75" customHeight="1">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row>
    <row r="887" ht="15.75" customHeight="1">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row>
    <row r="888" ht="15.75" customHeight="1">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row>
    <row r="889" ht="15.75" customHeight="1">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row>
    <row r="890" ht="15.75" customHeight="1">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row>
    <row r="891" ht="15.75" customHeight="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row>
    <row r="892" ht="15.75" customHeight="1">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row>
    <row r="893" ht="15.75" customHeight="1">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row>
    <row r="894" ht="15.75" customHeight="1">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row>
    <row r="895" ht="15.75" customHeight="1">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row>
    <row r="896" ht="15.75" customHeight="1">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row>
    <row r="897" ht="15.75" customHeight="1">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row>
    <row r="898" ht="15.75" customHeight="1">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row>
    <row r="899" ht="15.75" customHeight="1">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row>
    <row r="900" ht="15.75" customHeight="1">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row>
    <row r="901" ht="15.75" customHeight="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row>
    <row r="902" ht="15.75" customHeight="1">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row>
    <row r="903" ht="15.75" customHeight="1">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row>
    <row r="904" ht="15.75" customHeight="1">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row>
    <row r="905" ht="15.75" customHeight="1">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row>
    <row r="906" ht="15.75" customHeight="1">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row>
    <row r="907" ht="15.75" customHeight="1">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row>
    <row r="908" ht="15.75" customHeight="1">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row>
    <row r="909" ht="15.75" customHeight="1">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row>
    <row r="910" ht="15.75" customHeight="1">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row>
    <row r="911" ht="15.75" customHeight="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row>
    <row r="912" ht="15.75" customHeight="1">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row>
    <row r="913" ht="15.75" customHeight="1">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row>
    <row r="914" ht="15.75" customHeight="1">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row>
    <row r="915" ht="15.75" customHeight="1">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row>
    <row r="916" ht="15.75" customHeight="1">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row>
    <row r="917" ht="15.75" customHeight="1">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row>
    <row r="918" ht="15.75" customHeight="1">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row>
    <row r="919" ht="15.75" customHeight="1">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row>
    <row r="920" ht="15.75" customHeight="1">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row>
    <row r="921" ht="15.75" customHeight="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row>
    <row r="922" ht="15.75" customHeight="1">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row>
    <row r="923" ht="15.75" customHeight="1">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row>
    <row r="924" ht="15.75" customHeight="1">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row>
    <row r="925" ht="15.75" customHeight="1">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row>
    <row r="926" ht="15.75" customHeight="1">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row>
    <row r="927" ht="15.75" customHeight="1">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row>
    <row r="928" ht="15.75" customHeight="1">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row>
    <row r="929" ht="15.75" customHeight="1">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row>
    <row r="930" ht="15.75" customHeight="1">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row>
    <row r="931" ht="15.75" customHeight="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row>
    <row r="932" ht="15.75" customHeight="1">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row>
    <row r="933" ht="15.75" customHeight="1">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row>
    <row r="934" ht="15.75" customHeight="1">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row>
    <row r="935" ht="15.75" customHeight="1">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row>
    <row r="936" ht="15.75" customHeight="1">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row>
    <row r="937" ht="15.75" customHeight="1">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row>
    <row r="938" ht="15.75" customHeight="1">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row>
    <row r="939" ht="15.75" customHeight="1">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row>
    <row r="940" ht="15.75" customHeight="1">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row>
    <row r="941" ht="15.75" customHeight="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row>
    <row r="942" ht="15.75" customHeight="1">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row>
    <row r="943" ht="15.75" customHeight="1">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row>
    <row r="944" ht="15.75" customHeight="1">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row>
    <row r="945" ht="15.75" customHeight="1">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row>
    <row r="946" ht="15.75" customHeight="1">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row>
    <row r="947" ht="15.75" customHeight="1">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row>
    <row r="948" ht="15.75" customHeight="1">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row>
    <row r="949" ht="15.75" customHeight="1">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row>
    <row r="950" ht="15.75" customHeight="1">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row>
    <row r="951" ht="15.75" customHeight="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row>
    <row r="952" ht="15.75" customHeight="1">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row>
    <row r="953" ht="15.75" customHeight="1">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row>
    <row r="954" ht="15.75" customHeight="1">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row>
    <row r="955" ht="15.75" customHeight="1">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row>
    <row r="956" ht="15.75" customHeight="1">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row>
    <row r="957" ht="15.75" customHeight="1">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row>
    <row r="958" ht="15.75" customHeight="1">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row>
    <row r="959" ht="15.75" customHeight="1">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row>
    <row r="960" ht="15.75" customHeight="1">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row>
    <row r="961" ht="15.75" customHeight="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row>
    <row r="962" ht="15.75" customHeight="1">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row>
    <row r="963" ht="15.75" customHeight="1">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row>
    <row r="964" ht="15.75" customHeight="1">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row>
    <row r="965" ht="15.75" customHeight="1">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row>
    <row r="966" ht="15.75" customHeight="1">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row>
    <row r="967" ht="15.75" customHeight="1">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row>
    <row r="968" ht="15.75" customHeight="1">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row>
    <row r="969" ht="15.75" customHeight="1">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row>
    <row r="970" ht="15.75" customHeight="1">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row>
    <row r="971" ht="15.75" customHeight="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row>
    <row r="972" ht="15.75" customHeight="1">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row>
    <row r="973" ht="15.75" customHeight="1">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row>
    <row r="974" ht="15.75" customHeight="1">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row>
    <row r="975" ht="15.75" customHeight="1">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row>
    <row r="976" ht="15.75" customHeight="1">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row>
    <row r="977" ht="15.75" customHeight="1">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row>
    <row r="978" ht="15.75" customHeight="1">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row>
    <row r="979" ht="15.75" customHeight="1">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row>
    <row r="980" ht="15.75" customHeight="1">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row>
    <row r="981" ht="15.75" customHeight="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row>
    <row r="982" ht="15.75" customHeight="1">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row>
    <row r="983" ht="15.75" customHeight="1">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row>
    <row r="984" ht="15.75" customHeight="1">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row>
    <row r="985" ht="15.75" customHeight="1">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row>
    <row r="986" ht="15.75" customHeight="1">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row>
    <row r="987" ht="15.75" customHeight="1">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row>
    <row r="988" ht="15.75" customHeight="1">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row>
    <row r="989" ht="15.75" customHeight="1">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row>
    <row r="990" ht="15.75" customHeight="1">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row>
    <row r="991" ht="15.75" customHeight="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row>
    <row r="992" ht="15.75" customHeight="1">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row>
    <row r="993" ht="15.75" customHeight="1">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row>
    <row r="994" ht="15.75" customHeight="1">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row>
    <row r="995" ht="15.75" customHeight="1">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row>
    <row r="996" ht="15.75" customHeight="1">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row>
    <row r="997" ht="15.75" customHeight="1">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row>
    <row r="998" ht="15.75" customHeight="1">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row>
    <row r="999" ht="15.75" customHeight="1">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row>
    <row r="1000" ht="15.75" customHeight="1">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row>
    <row r="1001" ht="15.75" customHeight="1">
      <c r="A1001" s="78"/>
      <c r="B1001" s="78"/>
      <c r="C1001" s="78"/>
      <c r="D1001" s="78"/>
      <c r="E1001" s="78"/>
      <c r="F1001" s="78"/>
      <c r="G1001" s="78"/>
      <c r="H1001" s="78"/>
      <c r="I1001" s="78"/>
      <c r="J1001" s="78"/>
      <c r="K1001" s="78"/>
      <c r="L1001" s="78"/>
      <c r="M1001" s="78"/>
      <c r="N1001" s="78"/>
      <c r="O1001" s="78"/>
      <c r="P1001" s="78"/>
      <c r="Q1001" s="78"/>
      <c r="R1001" s="78"/>
      <c r="S1001" s="78"/>
      <c r="T1001" s="78"/>
      <c r="U1001" s="78"/>
      <c r="V1001" s="78"/>
      <c r="W1001" s="78"/>
      <c r="X1001" s="78"/>
      <c r="Y1001" s="78"/>
      <c r="Z1001" s="78"/>
    </row>
    <row r="1002" ht="15.75" customHeight="1">
      <c r="A1002" s="78"/>
      <c r="B1002" s="78"/>
      <c r="C1002" s="78"/>
      <c r="D1002" s="78"/>
      <c r="E1002" s="78"/>
      <c r="F1002" s="78"/>
      <c r="G1002" s="78"/>
      <c r="H1002" s="78"/>
      <c r="I1002" s="78"/>
      <c r="J1002" s="78"/>
      <c r="K1002" s="78"/>
      <c r="L1002" s="78"/>
      <c r="M1002" s="78"/>
      <c r="N1002" s="78"/>
      <c r="O1002" s="78"/>
      <c r="P1002" s="78"/>
      <c r="Q1002" s="78"/>
      <c r="R1002" s="78"/>
      <c r="S1002" s="78"/>
      <c r="T1002" s="78"/>
      <c r="U1002" s="78"/>
      <c r="V1002" s="78"/>
      <c r="W1002" s="78"/>
      <c r="X1002" s="78"/>
      <c r="Y1002" s="78"/>
      <c r="Z1002" s="78"/>
    </row>
    <row r="1003" ht="15.75" customHeight="1">
      <c r="A1003" s="78"/>
      <c r="B1003" s="78"/>
      <c r="C1003" s="78"/>
      <c r="D1003" s="78"/>
      <c r="E1003" s="78"/>
      <c r="F1003" s="78"/>
      <c r="G1003" s="78"/>
      <c r="H1003" s="78"/>
      <c r="I1003" s="78"/>
      <c r="J1003" s="78"/>
      <c r="K1003" s="78"/>
      <c r="L1003" s="78"/>
      <c r="M1003" s="78"/>
      <c r="N1003" s="78"/>
      <c r="O1003" s="78"/>
      <c r="P1003" s="78"/>
      <c r="Q1003" s="78"/>
      <c r="R1003" s="78"/>
      <c r="S1003" s="78"/>
      <c r="T1003" s="78"/>
      <c r="U1003" s="78"/>
      <c r="V1003" s="78"/>
      <c r="W1003" s="78"/>
      <c r="X1003" s="78"/>
      <c r="Y1003" s="78"/>
      <c r="Z1003" s="78"/>
    </row>
    <row r="1004" ht="15.75" customHeight="1">
      <c r="A1004" s="78"/>
      <c r="B1004" s="78"/>
      <c r="C1004" s="78"/>
      <c r="D1004" s="78"/>
      <c r="E1004" s="78"/>
      <c r="F1004" s="78"/>
      <c r="G1004" s="78"/>
      <c r="H1004" s="78"/>
      <c r="I1004" s="78"/>
      <c r="J1004" s="78"/>
      <c r="K1004" s="78"/>
      <c r="L1004" s="78"/>
      <c r="M1004" s="78"/>
      <c r="N1004" s="78"/>
      <c r="O1004" s="78"/>
      <c r="P1004" s="78"/>
      <c r="Q1004" s="78"/>
      <c r="R1004" s="78"/>
      <c r="S1004" s="78"/>
      <c r="T1004" s="78"/>
      <c r="U1004" s="78"/>
      <c r="V1004" s="78"/>
      <c r="W1004" s="78"/>
      <c r="X1004" s="78"/>
      <c r="Y1004" s="78"/>
      <c r="Z1004" s="78"/>
    </row>
    <row r="1005" ht="15.75" customHeight="1">
      <c r="A1005" s="78"/>
      <c r="B1005" s="78"/>
      <c r="C1005" s="78"/>
      <c r="D1005" s="78"/>
      <c r="E1005" s="78"/>
      <c r="F1005" s="78"/>
      <c r="G1005" s="78"/>
      <c r="H1005" s="78"/>
      <c r="I1005" s="78"/>
      <c r="J1005" s="78"/>
      <c r="K1005" s="78"/>
      <c r="L1005" s="78"/>
      <c r="M1005" s="78"/>
      <c r="N1005" s="78"/>
      <c r="O1005" s="78"/>
      <c r="P1005" s="78"/>
      <c r="Q1005" s="78"/>
      <c r="R1005" s="78"/>
      <c r="S1005" s="78"/>
      <c r="T1005" s="78"/>
      <c r="U1005" s="78"/>
      <c r="V1005" s="78"/>
      <c r="W1005" s="78"/>
      <c r="X1005" s="78"/>
      <c r="Y1005" s="78"/>
      <c r="Z1005" s="78"/>
    </row>
    <row r="1006" ht="15.75" customHeight="1">
      <c r="A1006" s="78"/>
      <c r="B1006" s="78"/>
      <c r="C1006" s="78"/>
      <c r="D1006" s="78"/>
      <c r="E1006" s="78"/>
      <c r="F1006" s="78"/>
      <c r="G1006" s="78"/>
      <c r="H1006" s="78"/>
      <c r="I1006" s="78"/>
      <c r="J1006" s="78"/>
      <c r="K1006" s="78"/>
      <c r="L1006" s="78"/>
      <c r="M1006" s="78"/>
      <c r="N1006" s="78"/>
      <c r="O1006" s="78"/>
      <c r="P1006" s="78"/>
      <c r="Q1006" s="78"/>
      <c r="R1006" s="78"/>
      <c r="S1006" s="78"/>
      <c r="T1006" s="78"/>
      <c r="U1006" s="78"/>
      <c r="V1006" s="78"/>
      <c r="W1006" s="78"/>
      <c r="X1006" s="78"/>
      <c r="Y1006" s="78"/>
      <c r="Z1006" s="78"/>
    </row>
  </sheetData>
  <mergeCells count="6">
    <mergeCell ref="A1:C1"/>
    <mergeCell ref="A2:C2"/>
    <mergeCell ref="A13:C13"/>
    <mergeCell ref="A27:C27"/>
    <mergeCell ref="A28:C28"/>
    <mergeCell ref="A35:C35"/>
  </mergeCells>
  <conditionalFormatting sqref="B38">
    <cfRule type="expression" dxfId="0" priority="1">
      <formula>$B15="Long"</formula>
    </cfRule>
  </conditionalFormatting>
  <conditionalFormatting sqref="B38">
    <cfRule type="expression" dxfId="1" priority="2">
      <formula>$B15="Short"</formula>
    </cfRule>
  </conditionalFormatting>
  <conditionalFormatting sqref="B15">
    <cfRule type="expression" dxfId="2" priority="3">
      <formula>LEN(TRIM(B15))&gt;0</formula>
    </cfRule>
  </conditionalFormatting>
  <conditionalFormatting sqref="B39">
    <cfRule type="expression" dxfId="3" priority="4">
      <formula>$B15="Long"</formula>
    </cfRule>
  </conditionalFormatting>
  <conditionalFormatting sqref="B39">
    <cfRule type="expression" dxfId="4" priority="5">
      <formula>$B15="Short"</formula>
    </cfRule>
  </conditionalFormatting>
  <conditionalFormatting sqref="B40">
    <cfRule type="expression" dxfId="5" priority="6">
      <formula>$B15="Long"</formula>
    </cfRule>
  </conditionalFormatting>
  <conditionalFormatting sqref="B40">
    <cfRule type="expression" dxfId="4" priority="7">
      <formula>$B15="Short"</formula>
    </cfRule>
  </conditionalFormatting>
  <conditionalFormatting sqref="B41">
    <cfRule type="expression" dxfId="5" priority="8">
      <formula>$B15="Long"</formula>
    </cfRule>
  </conditionalFormatting>
  <conditionalFormatting sqref="B41">
    <cfRule type="expression" dxfId="4" priority="9">
      <formula>$B15="Short"</formula>
    </cfRule>
  </conditionalFormatting>
  <conditionalFormatting sqref="B42">
    <cfRule type="expression" dxfId="5" priority="10">
      <formula>$B15="Long"</formula>
    </cfRule>
  </conditionalFormatting>
  <conditionalFormatting sqref="B42">
    <cfRule type="expression" dxfId="4" priority="11">
      <formula>$B15="Short"</formula>
    </cfRule>
  </conditionalFormatting>
  <dataValidations>
    <dataValidation type="list" allowBlank="1" showErrorMessage="1" sqref="B15">
      <formula1>"Long,Short"</formula1>
    </dataValidation>
    <dataValidation type="list" allowBlank="1" showErrorMessage="1" sqref="B16">
      <formula1>"NSE Topers,EMB,EVB"</formula1>
    </dataValidation>
    <dataValidation type="list" allowBlank="1" showErrorMessage="1" sqref="B21">
      <formula1>"Breakout Candle,Confirmation Candle"</formula1>
    </dataValidation>
  </dataValidations>
  <printOptions/>
  <pageMargins bottom="1.0" footer="0.0" header="0.0" left="0.75" right="0.75" top="1.0"/>
  <pageSetup paperSize="9" orientation="portrait"/>
  <drawing r:id="rId2"/>
  <legacyDrawing r:id="rId3"/>
</worksheet>
</file>