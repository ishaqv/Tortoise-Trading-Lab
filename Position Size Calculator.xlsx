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5">
      <text>
        <t xml:space="preserve">Legend
🟠 Orange – SELL
🔵 Blue – BUY</t>
      </text>
    </comment>
    <comment authorId="0" ref="B43">
      <text>
        <t xml:space="preserve">Legend
🟠 Orange – SELL
🔵 Blue – BUY</t>
      </text>
    </comment>
    <comment authorId="0" ref="B8">
      <text>
        <t xml:space="preserve">Target Calculation Logic:
1. Base Target:
   - LONG:
     • NSE Topers - AllSec  → 3.5/B7
     • NSE Topers - NEXT50 → 3.0/B7
     • EVB                  → 2.5/B7
   - SHORT:
     • Fixed base target   → 2.0/B7
2. Participation Adjustment:
   - If participation is Strong:
     • LONG  → +1.5/B7
     • SHORT → +1.0/B7
   - Otherwise → +0
3. Market Order Adjustment:
   - If entry is a Market order → +0.25/B7
   - This accounts for expected slippage from using a Market order.
   - Otherwise → +0
4. Final Target:
   - Base Target
     + Participation Adjustment
     + Market Order Adjustment
   - Final value is rounded UP to the nearest 0.25 using CEILING().</t>
      </text>
    </comment>
  </commentList>
</comments>
</file>

<file path=xl/sharedStrings.xml><?xml version="1.0" encoding="utf-8"?>
<sst xmlns="http://schemas.openxmlformats.org/spreadsheetml/2006/main" count="100" uniqueCount="100">
  <si>
    <t>📊  Position Size Calculator ( Fill in the required fields marked with * )</t>
  </si>
  <si>
    <t>ACCOUNT SETTINGS</t>
  </si>
  <si>
    <t>Parameter</t>
  </si>
  <si>
    <t>Value</t>
  </si>
  <si>
    <t>Notes</t>
  </si>
  <si>
    <t>*  Trading Capital (₹)</t>
  </si>
  <si>
    <t>Total account equity</t>
  </si>
  <si>
    <t>Max Risk Per Trade (%)</t>
  </si>
  <si>
    <t>% of capital at risk (default 2% for SHORT and 2.5% for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</si>
  <si>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</si>
  <si>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</si>
  <si>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</si>
  <si>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</si>
  <si>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</si>
  <si>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</si>
  <si>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</si>
  <si>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</si>
  <si>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</si>
  <si>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</si>
  <si>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</si>
  <si>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</si>
  <si>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</si>
  <si>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</si>
  <si>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</si>
  <si>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</si>
  <si>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</si>
  <si>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</si>
  <si>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ATGL</t>
  </si>
  <si>
    <t>Stock Name: Enter the stock name (not case-sensitive). It will be converted to UPPERCASE automatically.</t>
  </si>
  <si>
    <t>*  Trade Type</t>
  </si>
  <si>
    <t>Long</t>
  </si>
  <si>
    <t>Trade Direction: Select LONG or SHORT. SL and target prices are computed accordingly.</t>
  </si>
  <si>
    <t>*  Setup</t>
  </si>
  <si>
    <t>EVB</t>
  </si>
  <si>
    <t>Select Setup: Different setups use different target values based on backtesting.</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</si>
  <si>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</si>
  <si>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</si>
  <si>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</si>
  <si>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</si>
  <si>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</si>
  <si>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</si>
  <si>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Market</t>
  </si>
  <si>
    <t xml:space="preserve">Market/Limit </t>
  </si>
  <si>
    <t>* Participation ( Volume )</t>
  </si>
  <si>
    <t>Strong</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</si>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</sst>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readingOrder="0" shrinkToFit="0" vertical="center" wrapText="1"/>
    </xf>
    <xf borderId="9" fillId="5" fontId="11" numFmtId="2" xfId="0" applyAlignment="1" applyBorder="1" applyFill="1" applyFont="1" applyNumberFormat="1">
      <alignment horizontal="center" readingOrder="0"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readingOrder="0"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ill="1" applyFont="1">
      <alignment horizontal="left" readingOrder="0" shrinkToFit="0" vertical="center" wrapText="1"/>
    </xf>
    <xf borderId="13" fillId="5" fontId="11" numFmtId="1" xfId="0" applyAlignment="1" applyBorder="1" applyFill="1" applyFont="1" applyNumberFormat="1">
      <alignment horizontal="center" shrinkToFit="0" vertical="center" wrapText="1"/>
    </xf>
    <xf borderId="13" fillId="5" fontId="11" numFmtId="1" xfId="0" applyAlignment="1" applyBorder="1" applyFill="1" applyFont="1" applyNumberFormat="1">
      <alignment horizontal="center" readingOrder="0"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readingOrder="0" shrinkToFit="0" vertical="center" wrapText="1"/>
    </xf>
    <xf borderId="13" fillId="5" fontId="9" numFmtId="0" xfId="0" applyAlignment="1" applyBorder="1" applyFill="1" applyFont="1">
      <alignment horizontal="left" readingOrder="0" shrinkToFit="0" vertical="center" wrapText="1"/>
    </xf>
    <xf borderId="18" fillId="5" fontId="10" numFmtId="0" xfId="0" applyAlignment="1" applyBorder="1" applyFill="1" applyFont="1">
      <alignment horizontal="left" readingOrder="0"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readingOrder="0" shrinkToFit="0" vertical="center" wrapText="1"/>
    </xf>
    <xf borderId="18" fillId="5" fontId="11" numFmtId="10" xfId="0" applyAlignment="1" applyBorder="1" applyFill="1" applyFont="1" applyNumberFormat="1">
      <alignment horizontal="center" readingOrder="0" shrinkToFit="0" vertical="center" wrapText="1"/>
    </xf>
    <xf borderId="18" fillId="5" fontId="12"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readingOrder="0"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3"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readingOrder="0" shrinkToFit="0" vertical="center" wrapText="1"/>
    </xf>
    <xf borderId="22" fillId="4" fontId="13"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readingOrder="0" shrinkToFit="0" vertical="center" wrapText="1"/>
    </xf>
    <xf borderId="8" fillId="4" fontId="13"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8" fillId="4" fontId="13" numFmtId="0" xfId="0" applyAlignment="1" applyBorder="1" applyFill="1" applyFont="1">
      <alignment horizontal="left"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readingOrder="0" shrinkToFit="0" vertical="center" wrapText="1"/>
    </xf>
    <xf borderId="9" fillId="6" fontId="8" numFmtId="0" xfId="0" applyAlignment="1" applyBorder="1" applyFill="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8" fillId="4" fontId="12" numFmtId="0" xfId="0" applyAlignment="1" applyBorder="1" applyFill="1" applyFont="1">
      <alignment horizontal="left" readingOrder="0"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readingOrder="0" shrinkToFit="0" vertical="center" wrapText="1"/>
    </xf>
    <xf borderId="0" fillId="5" fontId="10" numFmtId="1" xfId="0" applyAlignment="1" applyFill="1" applyFont="1" applyNumberFormat="1">
      <alignment horizontal="center" shrinkToFit="0" vertical="center" wrapText="1"/>
    </xf>
    <xf borderId="0" fillId="5" fontId="9" numFmtId="0" xfId="0" applyAlignment="1" applyFill="1" applyFont="1">
      <alignment horizontal="left" shrinkToFit="0" vertical="center" wrapText="1"/>
    </xf>
    <xf borderId="0" fillId="8" fontId="15"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16"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17" numFmtId="0" xfId="0" applyAlignment="1" applyBorder="1" applyFill="1" applyFont="1">
      <alignment horizontal="left" shrinkToFit="0" vertical="center" wrapText="1"/>
    </xf>
    <xf borderId="30" fillId="10" fontId="16" numFmtId="0" xfId="0" applyAlignment="1" applyBorder="1" applyFill="1" applyFont="1">
      <alignment horizontal="left" readingOrder="0" shrinkToFit="0" vertical="center" wrapText="1"/>
    </xf>
    <xf borderId="9" fillId="10" fontId="16" numFmtId="164" xfId="0" applyAlignment="1" applyBorder="1" applyFill="1" applyFont="1" applyNumberFormat="1">
      <alignment horizontal="center" shrinkToFit="0" vertical="center" wrapText="1"/>
    </xf>
    <xf borderId="29" fillId="5" fontId="17" numFmtId="0" xfId="0" applyAlignment="1" applyBorder="1" applyFill="1" applyFont="1">
      <alignment horizontal="left" readingOrder="0" shrinkToFit="0" vertical="center" wrapText="1"/>
    </xf>
    <xf borderId="9" fillId="10" fontId="18" numFmtId="165" xfId="0" applyAlignment="1" applyBorder="1" applyFill="1" applyFont="1" applyNumberFormat="1">
      <alignment horizontal="center" shrinkToFit="0" vertical="center" wrapText="1"/>
    </xf>
    <xf borderId="9" fillId="10" fontId="18" numFmtId="4" xfId="0" applyAlignment="1" applyBorder="1" applyFill="1" applyFont="1" applyNumberFormat="1">
      <alignment horizontal="center" shrinkToFit="0" vertical="center" wrapText="1"/>
    </xf>
    <xf borderId="31" fillId="10" fontId="16" numFmtId="0" xfId="0" applyAlignment="1" applyBorder="1" applyFill="1" applyFont="1">
      <alignment horizontal="left" readingOrder="0" shrinkToFit="0" vertical="center" wrapText="1"/>
    </xf>
    <xf borderId="11" fillId="10" fontId="19" numFmtId="165" xfId="0" applyAlignment="1" applyBorder="1" applyFill="1" applyFont="1" applyNumberFormat="1">
      <alignment horizontal="center" shrinkToFit="0" vertical="center" wrapText="1"/>
    </xf>
    <xf borderId="32" fillId="10" fontId="16" numFmtId="0" xfId="0" applyAlignment="1" applyBorder="1" applyFill="1" applyFont="1">
      <alignment horizontal="left" readingOrder="0" shrinkToFit="0" vertical="center" wrapText="1"/>
    </xf>
    <xf borderId="33" fillId="10" fontId="19" numFmtId="4" xfId="0" applyAlignment="1" applyBorder="1" applyFill="1" applyFont="1" applyNumberFormat="1">
      <alignment horizontal="center" shrinkToFit="0" vertical="center" wrapText="1"/>
    </xf>
    <xf borderId="34" fillId="5" fontId="17" numFmtId="0" xfId="0" applyAlignment="1" applyBorder="1" applyFill="1" applyFont="1">
      <alignment horizontal="left" readingOrder="0" shrinkToFit="0" vertical="center" wrapText="1"/>
    </xf>
    <xf borderId="33" fillId="10" fontId="20" numFmtId="165" xfId="0" applyAlignment="1" applyBorder="1" applyFill="1" applyFont="1" applyNumberFormat="1">
      <alignment horizontal="center" shrinkToFit="0" vertical="center" wrapText="1"/>
    </xf>
    <xf borderId="34" fillId="5" fontId="17" numFmtId="0" xfId="0" applyAlignment="1" applyBorder="1" applyFill="1" applyFont="1">
      <alignment horizontal="left" shrinkToFit="0" vertical="center" wrapText="1"/>
    </xf>
    <xf borderId="33" fillId="10" fontId="20" numFmtId="4" xfId="0" applyAlignment="1" applyBorder="1" applyFill="1" applyFont="1" applyNumberFormat="1">
      <alignment horizontal="center" shrinkToFit="0" vertical="center" wrapText="1"/>
    </xf>
    <xf borderId="35" fillId="10" fontId="16" numFmtId="0" xfId="0" applyAlignment="1" applyBorder="1" applyFill="1" applyFont="1">
      <alignment horizontal="left" readingOrder="0" shrinkToFit="0" vertical="center" wrapText="1"/>
    </xf>
    <xf borderId="36" fillId="10" fontId="20" numFmtId="165" xfId="0" applyAlignment="1" applyBorder="1" applyFill="1" applyFont="1" applyNumberFormat="1">
      <alignment horizontal="center" shrinkToFit="0" vertical="center" wrapText="1"/>
    </xf>
    <xf borderId="37" fillId="5" fontId="17" numFmtId="0" xfId="0" applyAlignment="1" applyBorder="1" applyFill="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f>IF(B18="Short",0.025,IF(AND(ISNUMBER(SEARCH("NSE Topers",B19)),B18="Long"),0.04,0.03))</f>
        <v>0.03</v>
      </c>
      <c r="C5" s="17" t="s">
        <v>8</v>
      </c>
      <c r="D5" s="7"/>
      <c r="E5" s="7"/>
      <c r="F5" s="7"/>
      <c r="G5" s="7"/>
      <c r="H5" s="7"/>
      <c r="I5" s="7"/>
      <c r="J5" s="7"/>
      <c r="K5" s="7"/>
      <c r="L5" s="7"/>
      <c r="M5" s="7"/>
      <c r="N5" s="7"/>
      <c r="O5" s="7"/>
      <c r="P5" s="7"/>
      <c r="Q5" s="7"/>
      <c r="R5" s="7"/>
      <c r="S5" s="7"/>
      <c r="T5" s="7"/>
      <c r="U5" s="7"/>
      <c r="V5" s="7"/>
      <c r="W5" s="7"/>
      <c r="X5" s="7"/>
      <c r="Y5" s="7"/>
      <c r="Z5" s="8"/>
    </row>
    <row r="6" ht="30.0" customHeight="1">
      <c r="A6" s="15" t="s">
        <v>9</v>
      </c>
      <c r="B6" s="18">
        <v>4.75</v>
      </c>
      <c r="C6" s="17" t="s">
        <v>10</v>
      </c>
      <c r="D6" s="7"/>
      <c r="E6" s="7"/>
      <c r="F6" s="7"/>
      <c r="G6" s="7"/>
      <c r="H6" s="7"/>
      <c r="I6" s="7"/>
      <c r="J6" s="7"/>
      <c r="K6" s="7"/>
      <c r="L6" s="7"/>
      <c r="M6" s="7"/>
      <c r="N6" s="7"/>
      <c r="O6" s="7"/>
      <c r="P6" s="7"/>
      <c r="Q6" s="7"/>
      <c r="R6" s="7"/>
      <c r="S6" s="7"/>
      <c r="T6" s="7"/>
      <c r="U6" s="7"/>
      <c r="V6" s="7"/>
      <c r="W6" s="7"/>
      <c r="X6" s="7"/>
      <c r="Y6" s="7"/>
      <c r="Z6" s="8"/>
    </row>
    <row r="7" ht="21.75"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customHeight="1">
      <c r="A8" s="22" t="s">
        <v>13</v>
      </c>
      <c r="B8" s="23">
        <f>CEILING(
    IF(
        B18="Long",
        IFS(
            B19="NSE Topers - AllSec",3.5/B7,
            B19="NSE Topers - NEXT50",3/B7,
            B19="EVB",2/B7
        ),
        2/B7
    )
    +IF(
        AND(B25="Strong",B18="Long"),
        1.5/B7,
        IF(
            AND(B25="Strong",B18="Short"),
            1/B7,
            0
        )
    )
    +IF(B24="Market",0.25/B7,0),
    0.25
)</f>
        <v>7.5</v>
      </c>
      <c r="C8" s="24" t="str">
        <f t="shared" ref="C8:C9" si="1">B8 &amp; "R"</f>
        <v>7.5R</v>
      </c>
      <c r="D8" s="25"/>
      <c r="E8" s="25"/>
      <c r="F8" s="25"/>
      <c r="G8" s="25"/>
      <c r="H8" s="25"/>
      <c r="I8" s="25"/>
      <c r="J8" s="25"/>
      <c r="K8" s="25"/>
      <c r="L8" s="25"/>
      <c r="M8" s="25"/>
      <c r="N8" s="25"/>
      <c r="O8" s="25"/>
      <c r="P8" s="25"/>
      <c r="Q8" s="25"/>
      <c r="R8" s="25"/>
      <c r="S8" s="25"/>
      <c r="T8" s="25"/>
      <c r="U8" s="25"/>
      <c r="V8" s="25"/>
      <c r="W8" s="25"/>
      <c r="X8" s="25"/>
      <c r="Y8" s="25"/>
      <c r="Z8" s="26"/>
    </row>
    <row r="9" ht="21.75" customHeight="1">
      <c r="A9" s="27" t="s">
        <v>14</v>
      </c>
      <c r="B9" s="28">
        <f>CEILING(B8*2,1)
 </f>
        <v>15</v>
      </c>
      <c r="C9" s="24" t="str">
        <f t="shared" si="1"/>
        <v>15R</v>
      </c>
      <c r="D9" s="25"/>
      <c r="E9" s="25"/>
      <c r="F9" s="25"/>
      <c r="G9" s="25"/>
      <c r="H9" s="25"/>
      <c r="I9" s="25"/>
      <c r="J9" s="25"/>
      <c r="K9" s="25"/>
      <c r="L9" s="25"/>
      <c r="M9" s="25"/>
      <c r="N9" s="25"/>
      <c r="O9" s="25"/>
      <c r="P9" s="25"/>
      <c r="Q9" s="25"/>
      <c r="R9" s="25"/>
      <c r="S9" s="25"/>
      <c r="T9" s="25"/>
      <c r="U9" s="25"/>
      <c r="V9" s="25"/>
      <c r="W9" s="25"/>
      <c r="X9" s="25"/>
      <c r="Y9" s="25"/>
      <c r="Z9" s="26"/>
    </row>
    <row r="10" ht="21.75" customHeight="1">
      <c r="A10" s="27" t="s">
        <v>15</v>
      </c>
      <c r="B10" s="29">
        <v>3.0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customHeight="1">
      <c r="A12" s="22" t="s">
        <v>19</v>
      </c>
      <c r="B12" s="33">
        <v>0.55</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customHeight="1">
      <c r="A14" s="35" t="s">
        <v>23</v>
      </c>
      <c r="B14" s="38">
        <v>0.0125</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15000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t="s">
        <v>27</v>
      </c>
      <c r="C17" s="34" t="s">
        <v>28</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29</v>
      </c>
      <c r="B18" s="44" t="s">
        <v>30</v>
      </c>
      <c r="C18" s="34" t="s">
        <v>31</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32</v>
      </c>
      <c r="B19" s="46" t="s">
        <v>33</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IF(B18="Long", "*  Entry Candle High", "*  Entry Candle Low")</f>
        <v>*  Entry Candle High</v>
      </c>
      <c r="B20" s="49">
        <v>613.65</v>
      </c>
      <c r="C20" s="50" t="s">
        <v>35</v>
      </c>
      <c r="D20" s="7"/>
      <c r="E20" s="7"/>
      <c r="F20" s="7"/>
      <c r="G20" s="7"/>
      <c r="H20" s="7"/>
      <c r="I20" s="7"/>
      <c r="J20" s="7"/>
      <c r="K20" s="7"/>
      <c r="L20" s="7"/>
      <c r="M20" s="7"/>
      <c r="N20" s="7"/>
      <c r="O20" s="7"/>
      <c r="P20" s="7"/>
      <c r="Q20" s="7"/>
      <c r="R20" s="7"/>
      <c r="S20" s="7"/>
      <c r="T20" s="7"/>
      <c r="U20" s="7"/>
      <c r="V20" s="7"/>
      <c r="W20" s="7"/>
      <c r="X20" s="7"/>
      <c r="Y20" s="7"/>
      <c r="Z20" s="8"/>
    </row>
    <row r="21" ht="36.75" customHeight="1">
      <c r="A21" s="51" t="s">
        <v>36</v>
      </c>
      <c r="B21" s="52">
        <v>3.48</v>
      </c>
      <c r="C21" s="17" t="s">
        <v>37</v>
      </c>
      <c r="D21" s="7"/>
      <c r="E21" s="7"/>
      <c r="F21" s="7"/>
      <c r="G21" s="7"/>
      <c r="H21" s="7"/>
      <c r="I21" s="7"/>
      <c r="J21" s="7"/>
      <c r="K21" s="7"/>
      <c r="L21" s="7"/>
      <c r="M21" s="7"/>
      <c r="N21" s="7"/>
      <c r="O21" s="7"/>
      <c r="P21" s="7"/>
      <c r="Q21" s="7"/>
      <c r="R21" s="7"/>
      <c r="S21" s="7"/>
      <c r="T21" s="7"/>
      <c r="U21" s="7"/>
      <c r="V21" s="7"/>
      <c r="W21" s="7"/>
      <c r="X21" s="7"/>
      <c r="Y21" s="7"/>
      <c r="Z21" s="8"/>
    </row>
    <row r="22" ht="52.5" customHeight="1">
      <c r="A22" s="53" t="s">
        <v>38</v>
      </c>
      <c r="B22" s="54">
        <v>0.2</v>
      </c>
      <c r="C22" s="14"/>
      <c r="D22" s="7"/>
      <c r="E22" s="7"/>
      <c r="F22" s="7"/>
      <c r="G22" s="7"/>
      <c r="H22" s="7"/>
      <c r="I22" s="7"/>
      <c r="J22" s="7"/>
      <c r="K22" s="7"/>
      <c r="L22" s="7"/>
      <c r="M22" s="7"/>
      <c r="N22" s="7"/>
      <c r="O22" s="7"/>
      <c r="P22" s="7"/>
      <c r="Q22" s="7"/>
      <c r="R22" s="7"/>
      <c r="S22" s="7"/>
      <c r="T22" s="7"/>
      <c r="U22" s="7"/>
      <c r="V22" s="7"/>
      <c r="W22" s="7"/>
      <c r="X22" s="7"/>
      <c r="Y22" s="7"/>
      <c r="Z22" s="8"/>
    </row>
    <row r="23" ht="52.5" customHeight="1">
      <c r="A23" s="53" t="str">
        <f>IF(B18="Long","* Upper Circuit","* Lower Circuit")</f>
        <v>* Upper Circuit</v>
      </c>
      <c r="B23" s="54">
        <v>1000.0</v>
      </c>
      <c r="C23" s="55" t="s">
        <v>39</v>
      </c>
      <c r="D23" s="7"/>
      <c r="E23" s="7"/>
      <c r="F23" s="7"/>
      <c r="G23" s="7"/>
      <c r="H23" s="7"/>
      <c r="I23" s="7"/>
      <c r="J23" s="7"/>
      <c r="K23" s="7"/>
      <c r="L23" s="7"/>
      <c r="M23" s="7"/>
      <c r="N23" s="7"/>
      <c r="O23" s="7"/>
      <c r="P23" s="7"/>
      <c r="Q23" s="7"/>
      <c r="R23" s="7"/>
      <c r="S23" s="7"/>
      <c r="T23" s="7"/>
      <c r="U23" s="7"/>
      <c r="V23" s="7"/>
      <c r="W23" s="7"/>
      <c r="X23" s="7"/>
      <c r="Y23" s="7"/>
      <c r="Z23" s="8"/>
    </row>
    <row r="24" ht="46.5" customHeight="1">
      <c r="A24" s="53" t="s">
        <v>40</v>
      </c>
      <c r="B24" s="56" t="s">
        <v>41</v>
      </c>
      <c r="C24" s="57" t="s">
        <v>42</v>
      </c>
      <c r="D24" s="7"/>
      <c r="E24" s="7"/>
      <c r="F24" s="7"/>
      <c r="G24" s="7"/>
      <c r="H24" s="7"/>
      <c r="I24" s="7"/>
      <c r="J24" s="7"/>
      <c r="K24" s="7"/>
      <c r="L24" s="7"/>
      <c r="M24" s="7"/>
      <c r="N24" s="7"/>
      <c r="O24" s="7"/>
      <c r="P24" s="7"/>
      <c r="Q24" s="7"/>
      <c r="R24" s="7"/>
      <c r="S24" s="7"/>
      <c r="T24" s="7"/>
      <c r="U24" s="7"/>
      <c r="V24" s="7"/>
      <c r="W24" s="7"/>
      <c r="X24" s="7"/>
      <c r="Y24" s="7"/>
      <c r="Z24" s="8"/>
    </row>
    <row r="25" ht="93.0" customHeight="1">
      <c r="A25" s="53" t="s">
        <v>43</v>
      </c>
      <c r="B25" s="56" t="s">
        <v>44</v>
      </c>
      <c r="C25" s="57" t="s">
        <v>45</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8" t="s">
        <v>46</v>
      </c>
      <c r="B26" s="59">
        <f>IF(AND(B21&gt;0, B22&gt;0), B22/B21,0)</f>
        <v>0.05747126437</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8" t="s">
        <v>47</v>
      </c>
      <c r="B27" s="60">
        <f>IF(B20&lt;1,0,
 IF(B20&lt;250,0.01,
 IF(B20&lt;=1000,0.05,
 IF(B20&lt;=5000,0.1,
 IF(B20&lt;=10000,0.5,
 IF(B20&lt;=20000,1,5))))))</f>
        <v>0.05</v>
      </c>
      <c r="C27" s="17"/>
      <c r="D27" s="7"/>
      <c r="E27" s="7"/>
      <c r="F27" s="7"/>
      <c r="G27" s="7"/>
      <c r="H27" s="7"/>
      <c r="I27" s="7"/>
      <c r="J27" s="7"/>
      <c r="K27" s="7"/>
      <c r="L27" s="7"/>
      <c r="M27" s="7"/>
      <c r="N27" s="7"/>
      <c r="O27" s="7"/>
      <c r="P27" s="7"/>
      <c r="Q27" s="7"/>
      <c r="R27" s="7"/>
      <c r="S27" s="7"/>
      <c r="T27" s="7"/>
      <c r="U27" s="7"/>
      <c r="V27" s="7"/>
      <c r="W27" s="7"/>
      <c r="X27" s="7"/>
      <c r="Y27" s="7"/>
      <c r="Z27" s="8"/>
    </row>
    <row r="28" ht="46.5" hidden="1" customHeight="1">
      <c r="A28" s="61" t="s">
        <v>48</v>
      </c>
      <c r="B28" s="62">
        <f>IF(ISNUMBER(B20),B20,0)</f>
        <v>613.65</v>
      </c>
      <c r="C28" s="17"/>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49</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50</v>
      </c>
      <c r="B30" s="63">
        <f>FLOOR(B21*B7, 0.1)</f>
        <v>1.7</v>
      </c>
      <c r="C30" s="14" t="s">
        <v>51</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52</v>
      </c>
      <c r="B31" s="63">
        <f>B4*B5</f>
        <v>15000</v>
      </c>
      <c r="C31" s="14" t="s">
        <v>53</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3">
        <f>B4*B6</f>
        <v>2375000</v>
      </c>
      <c r="C32" s="14" t="s">
        <v>55</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56</v>
      </c>
      <c r="B33" s="64">
        <f>IF(B30&gt;0,B31/B30,0)</f>
        <v>8823.529412</v>
      </c>
      <c r="C33" s="14"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4">
        <f>IF(B28&gt;0, B32/B28, 0)</f>
        <v>3870.284364</v>
      </c>
      <c r="C34" s="14"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9" t="s">
        <v>60</v>
      </c>
      <c r="B35" s="65">
        <f>MIN(B33,B34)</f>
        <v>3870.284364</v>
      </c>
      <c r="C35" s="21" t="s">
        <v>61</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66" t="s">
        <v>62</v>
      </c>
      <c r="B36" s="67" t="b">
        <f>B26&gt;B11</f>
        <v>0</v>
      </c>
      <c r="C36" s="68"/>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66" t="s">
        <v>63</v>
      </c>
      <c r="B37" s="67" t="b">
        <f>IF(B23&lt;1,FALSE,IF(B18="Long",(B23-B47)/B23&lt;=B14,(B47-B23)/B23&lt;=B14))</f>
        <v>0</v>
      </c>
      <c r="C37" s="68"/>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64</v>
      </c>
      <c r="B38" s="67" t="b">
        <f>IF(B23&lt;1,FALSE,IF(B18="Long",(B23-B48)/B23&lt;=B14,(B48-B23)/B23&lt;=B14))</f>
        <v>0</v>
      </c>
      <c r="C38" s="68"/>
      <c r="D38" s="7"/>
      <c r="E38" s="7"/>
      <c r="F38" s="7"/>
      <c r="G38" s="7"/>
      <c r="H38" s="7"/>
      <c r="I38" s="7"/>
      <c r="J38" s="7"/>
      <c r="K38" s="7"/>
      <c r="L38" s="7"/>
      <c r="M38" s="7"/>
      <c r="N38" s="7"/>
      <c r="O38" s="7"/>
      <c r="P38" s="7"/>
      <c r="Q38" s="7"/>
      <c r="R38" s="7"/>
      <c r="S38" s="7"/>
      <c r="T38" s="7"/>
      <c r="U38" s="7"/>
      <c r="V38" s="7"/>
      <c r="W38" s="7"/>
      <c r="X38" s="7"/>
      <c r="Y38" s="7"/>
      <c r="Z38" s="8"/>
    </row>
    <row r="39" ht="63.0" customHeight="1">
      <c r="A39" s="69" t="str">
        <f>IFERROR(
   IF(B36,
      "☠️ Spread Too High — High Slippage Risk - DO NOT TRADE",
      IF(B37,
         "☠️ T1 near circuit limit — False Breakout / Reversal Risk - DO NOT TRADE",
         IF(B38,
            "☠️ T2 near circuit limit — Exit 100% at T1",
            ""
         )
      )
   ),
   ""
)
</f>
        <v/>
      </c>
      <c r="D39" s="7"/>
      <c r="E39" s="7"/>
      <c r="F39" s="7"/>
      <c r="G39" s="70"/>
      <c r="H39" s="7"/>
      <c r="I39" s="7"/>
      <c r="J39" s="7"/>
      <c r="K39" s="7"/>
      <c r="L39" s="7"/>
      <c r="M39" s="7"/>
      <c r="N39" s="7"/>
      <c r="O39" s="7"/>
      <c r="P39" s="7"/>
      <c r="Q39" s="7"/>
      <c r="R39" s="7"/>
      <c r="S39" s="7"/>
      <c r="T39" s="7"/>
      <c r="U39" s="7"/>
      <c r="V39" s="7"/>
      <c r="W39" s="7"/>
      <c r="X39" s="7"/>
      <c r="Y39" s="7"/>
      <c r="Z39" s="8"/>
    </row>
    <row r="40" ht="40.5" customHeight="1">
      <c r="A40" s="71" t="s">
        <v>65</v>
      </c>
      <c r="B40" s="72"/>
      <c r="C40" s="73"/>
      <c r="D40" s="7"/>
      <c r="E40" s="7"/>
      <c r="F40" s="7"/>
      <c r="G40" s="7"/>
      <c r="H40" s="7"/>
      <c r="I40" s="7"/>
      <c r="J40" s="7"/>
      <c r="K40" s="7"/>
      <c r="L40" s="7"/>
      <c r="M40" s="7"/>
      <c r="N40" s="7"/>
      <c r="O40" s="7"/>
      <c r="P40" s="7"/>
      <c r="Q40" s="7"/>
      <c r="R40" s="7"/>
      <c r="S40" s="7"/>
      <c r="T40" s="7"/>
      <c r="U40" s="7"/>
      <c r="V40" s="7"/>
      <c r="W40" s="7"/>
      <c r="X40" s="7"/>
      <c r="Y40" s="7"/>
      <c r="Z40" s="8"/>
    </row>
    <row r="41" ht="30.75" customHeight="1">
      <c r="A41" s="74" t="s">
        <v>66</v>
      </c>
      <c r="B41" s="75" t="str">
        <f>B17</f>
        <v>ATGL</v>
      </c>
      <c r="C41" s="76"/>
      <c r="D41" s="7"/>
      <c r="E41" s="7"/>
      <c r="F41" s="7"/>
      <c r="G41" s="7"/>
      <c r="H41" s="7"/>
      <c r="I41" s="7"/>
      <c r="J41" s="7"/>
      <c r="K41" s="7"/>
      <c r="L41" s="7"/>
      <c r="M41" s="7"/>
      <c r="N41" s="7"/>
      <c r="O41" s="7"/>
      <c r="P41" s="7"/>
      <c r="Q41" s="7"/>
      <c r="R41" s="7"/>
      <c r="S41" s="7"/>
      <c r="T41" s="7"/>
      <c r="U41" s="7"/>
      <c r="V41" s="7"/>
      <c r="W41" s="7"/>
      <c r="X41" s="7"/>
      <c r="Y41" s="7"/>
      <c r="Z41" s="8"/>
    </row>
    <row r="42" ht="35.25" customHeight="1">
      <c r="A42" s="77" t="s">
        <v>67</v>
      </c>
      <c r="B42" s="78">
        <f>IFERROR(IF(OR(B36,B37),0,IF(B35&gt;5,ROUND(B35/5,0)*5,B35)), 0)</f>
        <v>3870</v>
      </c>
      <c r="C42" s="79" t="s">
        <v>68</v>
      </c>
      <c r="D42" s="7"/>
      <c r="E42" s="7"/>
      <c r="F42" s="7"/>
      <c r="G42" s="7"/>
      <c r="H42" s="7"/>
      <c r="I42" s="7"/>
      <c r="J42" s="7"/>
      <c r="K42" s="7"/>
      <c r="L42" s="7"/>
      <c r="M42" s="7"/>
      <c r="N42" s="7"/>
      <c r="O42" s="7"/>
      <c r="P42" s="7"/>
      <c r="Q42" s="7"/>
      <c r="R42" s="7"/>
      <c r="S42" s="7"/>
      <c r="T42" s="7"/>
      <c r="U42" s="7"/>
      <c r="V42" s="7"/>
      <c r="W42" s="7"/>
      <c r="X42" s="7"/>
      <c r="Y42" s="7"/>
      <c r="Z42" s="8"/>
    </row>
    <row r="43" ht="41.25" customHeight="1">
      <c r="A43" s="80" t="s">
        <v>69</v>
      </c>
      <c r="B43" s="81">
        <f>IFS(
    B24="Limit", B28,
    B18="Long", B28+B10*B27,
    B18="Short", B28-B10*B27
)</f>
        <v>613.8</v>
      </c>
      <c r="C43" s="79" t="s">
        <v>70</v>
      </c>
      <c r="D43" s="7"/>
      <c r="E43" s="7"/>
      <c r="F43" s="7"/>
      <c r="G43" s="7"/>
      <c r="H43" s="7"/>
      <c r="I43" s="7"/>
      <c r="J43" s="7"/>
      <c r="K43" s="7"/>
      <c r="L43" s="7"/>
      <c r="M43" s="7"/>
      <c r="N43" s="7"/>
      <c r="O43" s="7"/>
      <c r="P43" s="7"/>
      <c r="Q43" s="7"/>
      <c r="R43" s="7"/>
      <c r="S43" s="7"/>
      <c r="T43" s="7"/>
      <c r="U43" s="7"/>
      <c r="V43" s="7"/>
      <c r="W43" s="7"/>
      <c r="X43" s="7"/>
      <c r="Y43" s="7"/>
      <c r="Z43" s="8"/>
    </row>
    <row r="44" ht="43.5" hidden="1" customHeight="1">
      <c r="A44" s="80" t="s">
        <v>71</v>
      </c>
      <c r="B44" s="81" t="str">
        <f>if(B24="Limit", CEILING(B43+B27*B10, B27), "")</f>
        <v/>
      </c>
      <c r="C44" s="82"/>
      <c r="D44" s="7"/>
      <c r="E44" s="7"/>
      <c r="F44" s="7"/>
      <c r="G44" s="7"/>
      <c r="H44" s="7"/>
      <c r="I44" s="7"/>
      <c r="J44" s="7"/>
      <c r="K44" s="7"/>
      <c r="L44" s="7"/>
      <c r="M44" s="7"/>
      <c r="N44" s="7"/>
      <c r="O44" s="7"/>
      <c r="P44" s="7"/>
      <c r="Q44" s="7"/>
      <c r="R44" s="7"/>
      <c r="S44" s="7"/>
      <c r="T44" s="7"/>
      <c r="U44" s="7"/>
      <c r="V44" s="7"/>
      <c r="W44" s="7"/>
      <c r="X44" s="7"/>
      <c r="Y44" s="7"/>
      <c r="Z44" s="8"/>
    </row>
    <row r="45" ht="43.5" customHeight="1">
      <c r="A45" s="80" t="s">
        <v>72</v>
      </c>
      <c r="B45" s="81">
        <f>LET(
  entryPrice, IF(B24="Limit", B44, B43),
  IF(
    ISNUMBER(entryPrice),
    IF(B18="Long",
      FLOOR(entryPrice-B13*B30,B27),
      CEILING(entryPrice+B13*B30,B27)
    ),
    "⚠️ N/A"
  )
)</f>
        <v>610.9</v>
      </c>
      <c r="C45" s="82" t="s">
        <v>73</v>
      </c>
      <c r="D45" s="7"/>
      <c r="E45" s="7"/>
      <c r="F45" s="7"/>
      <c r="G45" s="7"/>
      <c r="H45" s="7"/>
      <c r="I45" s="7"/>
      <c r="J45" s="7"/>
      <c r="K45" s="7"/>
      <c r="L45" s="7"/>
      <c r="M45" s="7"/>
      <c r="N45" s="7"/>
      <c r="O45" s="7"/>
      <c r="P45" s="7"/>
      <c r="Q45" s="7"/>
      <c r="R45" s="7"/>
      <c r="S45" s="7"/>
      <c r="T45" s="7"/>
      <c r="U45" s="7"/>
      <c r="V45" s="7"/>
      <c r="W45" s="7"/>
      <c r="X45" s="7"/>
      <c r="Y45" s="7"/>
      <c r="Z45" s="8"/>
    </row>
    <row r="46" ht="43.5" customHeight="1">
      <c r="A46" s="80" t="s">
        <v>74</v>
      </c>
      <c r="B46" s="81">
        <f>LET(
  entryPrice, IF(B24="Limit", B44, B43),
  IF(
    B18="Long",
    FLOOR(entryPrice-B30,B27),
    CEILING(entryPrice+B30,B27)
  )
)</f>
        <v>612.1</v>
      </c>
      <c r="C46" s="79" t="s">
        <v>75</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76</v>
      </c>
      <c r="B47" s="81">
        <f>LET(
  entryPrice, IF(B24="Limit", B44, B43), 
    IF(
      B18="Long",
      CEILING(entryPrice+B8*B30,B27),
      FLOOR(entryPrice-B8*B30,B27)
    )
  )
</f>
        <v>626.55</v>
      </c>
      <c r="C47" s="79" t="s">
        <v>77</v>
      </c>
      <c r="D47" s="7"/>
      <c r="E47" s="7"/>
      <c r="F47" s="7"/>
      <c r="G47" s="7"/>
      <c r="H47" s="7"/>
      <c r="I47" s="7"/>
      <c r="J47" s="7"/>
      <c r="K47" s="7"/>
      <c r="L47" s="7"/>
      <c r="M47" s="7"/>
      <c r="N47" s="7"/>
      <c r="O47" s="7"/>
      <c r="P47" s="7"/>
      <c r="Q47" s="7"/>
      <c r="R47" s="7"/>
      <c r="S47" s="7"/>
      <c r="T47" s="7"/>
      <c r="U47" s="7"/>
      <c r="V47" s="7"/>
      <c r="W47" s="7"/>
      <c r="X47" s="7"/>
      <c r="Y47" s="7"/>
      <c r="Z47" s="8"/>
    </row>
    <row r="48" ht="51.0" customHeight="1">
      <c r="A48" s="80" t="s">
        <v>78</v>
      </c>
      <c r="B48" s="81">
        <f>LET(
  entryPrice, IF(B24="Limit", B44, B43), 
    IF(
      B18="Long",
      CEILING(entryPrice+B30*B9,B27),
      FLOOR(entryPrice-B30*B9,B27)
    )
  )
</f>
        <v>639.3</v>
      </c>
      <c r="C48" s="82" t="s">
        <v>79</v>
      </c>
      <c r="D48" s="7"/>
      <c r="E48" s="7"/>
      <c r="F48" s="7"/>
      <c r="G48" s="7"/>
      <c r="H48" s="7"/>
      <c r="I48" s="7"/>
      <c r="J48" s="7"/>
      <c r="K48" s="7"/>
      <c r="L48" s="7"/>
      <c r="M48" s="7"/>
      <c r="N48" s="7"/>
      <c r="O48" s="7"/>
      <c r="P48" s="7"/>
      <c r="Q48" s="7"/>
      <c r="R48" s="7"/>
      <c r="S48" s="7"/>
      <c r="T48" s="7"/>
      <c r="U48" s="7"/>
      <c r="V48" s="7"/>
      <c r="W48" s="7"/>
      <c r="X48" s="7"/>
      <c r="Y48" s="7"/>
      <c r="Z48" s="8"/>
    </row>
    <row r="49" ht="36.0" customHeight="1">
      <c r="A49" s="77" t="s">
        <v>80</v>
      </c>
      <c r="B49" s="78">
        <f>IF(OR(B36,B37, B38),0,ROUND(B12*B42,0))</f>
        <v>2129</v>
      </c>
      <c r="C49" s="82" t="s">
        <v>81</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82</v>
      </c>
      <c r="B50" s="78">
        <f>IF(OR(B36,B37,B38),0,B42-B49)</f>
        <v>1741</v>
      </c>
      <c r="C50" s="82" t="s">
        <v>83</v>
      </c>
      <c r="D50" s="7"/>
      <c r="E50" s="7"/>
      <c r="F50" s="7"/>
      <c r="G50" s="7"/>
      <c r="H50" s="7"/>
      <c r="I50" s="7"/>
      <c r="J50" s="7"/>
      <c r="K50" s="7"/>
      <c r="L50" s="7"/>
      <c r="M50" s="7"/>
      <c r="N50" s="7"/>
      <c r="O50" s="7"/>
      <c r="P50" s="7"/>
      <c r="Q50" s="7"/>
      <c r="R50" s="7"/>
      <c r="S50" s="7"/>
      <c r="T50" s="7"/>
      <c r="U50" s="7"/>
      <c r="V50" s="7"/>
      <c r="W50" s="7"/>
      <c r="X50" s="7"/>
      <c r="Y50" s="7"/>
      <c r="Z50" s="8"/>
    </row>
    <row r="51" ht="36.0" customHeight="1">
      <c r="A51" s="80" t="s">
        <v>84</v>
      </c>
      <c r="B51" s="83">
        <f>IF(B18="Long",ROUND((B43-B46)*B42,0),ROUND((B46-B43)*B42,0))</f>
        <v>6579</v>
      </c>
      <c r="C51" s="79" t="s">
        <v>85</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86</v>
      </c>
      <c r="B52" s="84" t="str">
        <f>ROUND(B51/B15,1) &amp; "R"</f>
        <v>0.4R</v>
      </c>
      <c r="C52" s="82" t="s">
        <v>87</v>
      </c>
      <c r="D52" s="7"/>
      <c r="E52" s="7"/>
      <c r="F52" s="70"/>
      <c r="G52" s="7"/>
      <c r="H52" s="7"/>
      <c r="I52" s="7"/>
      <c r="J52" s="7"/>
      <c r="K52" s="7"/>
      <c r="L52" s="7"/>
      <c r="M52" s="7"/>
      <c r="N52" s="7"/>
      <c r="O52" s="7"/>
      <c r="P52" s="7"/>
      <c r="Q52" s="7"/>
      <c r="R52" s="7"/>
      <c r="S52" s="7"/>
      <c r="T52" s="7"/>
      <c r="U52" s="7"/>
      <c r="V52" s="7"/>
      <c r="W52" s="7"/>
      <c r="X52" s="7"/>
      <c r="Y52" s="7"/>
      <c r="Z52" s="8"/>
    </row>
    <row r="53" ht="36.0" customHeight="1">
      <c r="A53" s="85" t="s">
        <v>88</v>
      </c>
      <c r="B53" s="86">
        <f>IF(B19="Long",ROUND((B45-B43)*B42,0),ROUND((B45-B43)*B42,0))</f>
        <v>-11223</v>
      </c>
      <c r="C53" s="82" t="s">
        <v>89</v>
      </c>
      <c r="D53" s="7"/>
      <c r="E53" s="7"/>
      <c r="F53" s="7"/>
      <c r="G53" s="7"/>
      <c r="H53" s="7"/>
      <c r="I53" s="7"/>
      <c r="J53" s="7"/>
      <c r="K53" s="7"/>
      <c r="L53" s="7"/>
      <c r="M53" s="7"/>
      <c r="N53" s="7"/>
      <c r="O53" s="7"/>
      <c r="P53" s="7"/>
      <c r="Q53" s="7"/>
      <c r="R53" s="7"/>
      <c r="S53" s="7"/>
      <c r="T53" s="7"/>
      <c r="U53" s="7"/>
      <c r="V53" s="7"/>
      <c r="W53" s="7"/>
      <c r="X53" s="7"/>
      <c r="Y53" s="7"/>
      <c r="Z53" s="8"/>
    </row>
    <row r="54" ht="36.0" customHeight="1">
      <c r="A54" s="87" t="s">
        <v>90</v>
      </c>
      <c r="B54" s="88" t="str">
        <f>ROUND(B53/B15,1) &amp; "R"</f>
        <v>-0.7R</v>
      </c>
      <c r="C54" s="89" t="s">
        <v>91</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92</v>
      </c>
      <c r="B55" s="90">
        <f>IF(B18="Long",(B47-B43)*B42,(B43-B47)*B42)</f>
        <v>49342.5</v>
      </c>
      <c r="C55" s="91" t="s">
        <v>93</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94</v>
      </c>
      <c r="B56" s="92" t="str">
        <f>ROUND(B55/B15,1) &amp; "R"</f>
        <v>3.3R</v>
      </c>
      <c r="C56" s="89" t="s">
        <v>95</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96</v>
      </c>
      <c r="B57" s="90">
        <f>IF(B18="Long",(B47-B43)*B49+(B48-B43)*B50,(B43-B47)*B49+(B43-B48)*B50)</f>
        <v>71540.25</v>
      </c>
      <c r="C57" s="89" t="s">
        <v>97</v>
      </c>
      <c r="D57" s="7"/>
      <c r="E57" s="7"/>
      <c r="F57" s="7"/>
      <c r="G57" s="7"/>
      <c r="H57" s="7"/>
      <c r="I57" s="7"/>
      <c r="J57" s="7"/>
      <c r="K57" s="7"/>
      <c r="L57" s="7"/>
      <c r="M57" s="7"/>
      <c r="N57" s="7"/>
      <c r="O57" s="7"/>
      <c r="P57" s="7"/>
      <c r="Q57" s="7"/>
      <c r="R57" s="7"/>
      <c r="S57" s="7"/>
      <c r="T57" s="7"/>
      <c r="U57" s="7"/>
      <c r="V57" s="7"/>
      <c r="W57" s="7"/>
      <c r="X57" s="7"/>
      <c r="Y57" s="7"/>
      <c r="Z57" s="8"/>
    </row>
    <row r="58" ht="36.0" customHeight="1">
      <c r="A58" s="93" t="s">
        <v>98</v>
      </c>
      <c r="B58" s="94" t="str">
        <f>ROUND(B57/B15,1) &amp; "R"</f>
        <v>4.8R</v>
      </c>
      <c r="C58" s="95" t="s">
        <v>99</v>
      </c>
      <c r="D58" s="7"/>
      <c r="E58" s="7"/>
      <c r="F58" s="7"/>
      <c r="G58" s="7"/>
      <c r="H58" s="7"/>
      <c r="I58" s="7"/>
      <c r="J58" s="7"/>
      <c r="K58" s="7"/>
      <c r="L58" s="7"/>
      <c r="M58" s="7"/>
      <c r="N58" s="7"/>
      <c r="O58" s="7"/>
      <c r="P58" s="7"/>
      <c r="Q58" s="7"/>
      <c r="R58" s="7"/>
      <c r="S58" s="7"/>
      <c r="T58" s="7"/>
      <c r="U58" s="7"/>
      <c r="V58" s="7"/>
      <c r="W58" s="7"/>
      <c r="X58" s="7"/>
      <c r="Y58" s="7"/>
      <c r="Z58" s="8"/>
    </row>
    <row r="59" ht="21.75" customHeight="1">
      <c r="A59" s="96"/>
      <c r="B59" s="97"/>
      <c r="C59" s="98"/>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15.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9"/>
      <c r="B258" s="100"/>
      <c r="C258" s="101"/>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8"/>
    </row>
    <row r="259" ht="15.75" customHeight="1">
      <c r="A259" s="103"/>
      <c r="B259" s="102"/>
      <c r="C259" s="103"/>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sheetData>
  <mergeCells count="6">
    <mergeCell ref="A1:C1"/>
    <mergeCell ref="A2:C2"/>
    <mergeCell ref="A16:C16"/>
    <mergeCell ref="A29:C29"/>
    <mergeCell ref="A39:C39"/>
    <mergeCell ref="A40:C40"/>
  </mergeCells>
  <conditionalFormatting sqref="B43">
    <cfRule type="expression" dxfId="0" priority="1">
      <formula>$B18="Long"</formula>
    </cfRule>
  </conditionalFormatting>
  <conditionalFormatting sqref="B43">
    <cfRule type="expression" dxfId="1" priority="2">
      <formula>$B18="Short"</formula>
    </cfRule>
  </conditionalFormatting>
  <conditionalFormatting sqref="B44">
    <cfRule type="expression" dxfId="2" priority="3">
      <formula>$B18="Long"</formula>
    </cfRule>
  </conditionalFormatting>
  <conditionalFormatting sqref="B44">
    <cfRule type="expression" dxfId="3" priority="4">
      <formula>$B18="Short"</formula>
    </cfRule>
  </conditionalFormatting>
  <conditionalFormatting sqref="B46">
    <cfRule type="expression" dxfId="1" priority="5">
      <formula>$B18="Long"</formula>
    </cfRule>
  </conditionalFormatting>
  <conditionalFormatting sqref="B46">
    <cfRule type="expression" dxfId="0" priority="6">
      <formula>$B18="Short"</formula>
    </cfRule>
  </conditionalFormatting>
  <conditionalFormatting sqref="B47">
    <cfRule type="expression" dxfId="1" priority="7">
      <formula>$B18="Long"</formula>
    </cfRule>
  </conditionalFormatting>
  <conditionalFormatting sqref="B47">
    <cfRule type="expression" dxfId="0" priority="8">
      <formula>$B18="Short"</formula>
    </cfRule>
  </conditionalFormatting>
  <conditionalFormatting sqref="B48">
    <cfRule type="expression" dxfId="1" priority="9">
      <formula>$B18="Long"</formula>
    </cfRule>
  </conditionalFormatting>
  <conditionalFormatting sqref="B48">
    <cfRule type="expression" dxfId="0" priority="10">
      <formula>$B18="Short"</formula>
    </cfRule>
  </conditionalFormatting>
  <conditionalFormatting sqref="B45">
    <cfRule type="expression" dxfId="1" priority="11">
      <formula>$B18="Long"</formula>
    </cfRule>
  </conditionalFormatting>
  <conditionalFormatting sqref="B45">
    <cfRule type="expression" dxfId="0" priority="12">
      <formula>$B18="Short"</formula>
    </cfRule>
  </conditionalFormatting>
  <dataValidations>
    <dataValidation type="list" allowBlank="1" showErrorMessage="1" sqref="B18">
      <formula1>"Long,Short"</formula1>
    </dataValidation>
    <dataValidation type="list" allowBlank="1" showErrorMessage="1" sqref="B24">
      <formula1>"Limit,Market"</formula1>
    </dataValidation>
    <dataValidation type="list" allowBlank="1" showErrorMessage="1" sqref="B25">
      <formula1>"Normal,Strong"</formula1>
    </dataValidation>
    <dataValidation type="list" allowBlank="1" showErrorMessage="1" sqref="B19">
      <formula1>"NSE Topers - AllSec,NSE Topers - NEXT50,EVB"</formula1>
    </dataValidation>
  </dataValidations>
  <printOptions/>
  <pageMargins bottom="1.0" footer="0.0" header="0.0" left="0.75" right="0.75" top="1.0"/>
  <pageSetup paperSize="9" orientation="portrait"/>
  <drawing r:id="rId2"/>
  <legacyDrawing r:id="rId3"/>
</worksheet>
</file>